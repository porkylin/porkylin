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onemsci-my.sharepoint.com/personal/zhuolin_zheng_msci_com/Documents/"/>
    </mc:Choice>
  </mc:AlternateContent>
  <xr:revisionPtr revIDLastSave="83" documentId="13_ncr:1_{402A6EDB-EFCD-4E3C-A2E0-DB405F26241F}" xr6:coauthVersionLast="47" xr6:coauthVersionMax="47" xr10:uidLastSave="{0E15CD40-92BE-40C2-81D1-A8EB9D2FCE14}"/>
  <bookViews>
    <workbookView xWindow="32580" yWindow="2352" windowWidth="23040" windowHeight="13644" firstSheet="3" activeTab="3" xr2:uid="{00000000-000D-0000-FFFF-FFFF00000000}"/>
  </bookViews>
  <sheets>
    <sheet name="BEIJING" sheetId="22" state="hidden" r:id="rId1"/>
    <sheet name="Copenhagen" sheetId="38" state="hidden" r:id="rId2"/>
    <sheet name="list" sheetId="50" state="hidden" r:id="rId3"/>
    <sheet name="vacation" sheetId="102" r:id="rId4"/>
    <sheet name="二" sheetId="103" r:id="rId5"/>
    <sheet name="club" sheetId="109" r:id="rId6"/>
    <sheet name="chart" sheetId="108" r:id="rId7"/>
    <sheet name="leave" sheetId="115" r:id="rId8"/>
    <sheet name="party budget" sheetId="113" r:id="rId9"/>
    <sheet name="next stop" sheetId="112" r:id="rId10"/>
    <sheet name="financial planning" sheetId="111" r:id="rId11"/>
    <sheet name="surgeons" sheetId="107" state="hidden" r:id="rId12"/>
    <sheet name="tax-relief" sheetId="106" r:id="rId13"/>
    <sheet name="签证" sheetId="92" state="hidden" r:id="rId14"/>
    <sheet name="小虎" sheetId="90" r:id="rId15"/>
    <sheet name="MSCI" sheetId="96" r:id="rId16"/>
    <sheet name="小板" sheetId="80" state="hidden" r:id="rId17"/>
    <sheet name="飞行" sheetId="83" state="hidden" r:id="rId18"/>
    <sheet name="旅" sheetId="70" r:id="rId19"/>
    <sheet name="英镑" sheetId="73" r:id="rId20"/>
    <sheet name="牙医" sheetId="75" r:id="rId21"/>
    <sheet name="私医" sheetId="76" r:id="rId22"/>
    <sheet name="PENSION" sheetId="105" r:id="rId23"/>
    <sheet name="pippa pop-in" sheetId="104" r:id="rId24"/>
  </sheets>
  <externalReferences>
    <externalReference r:id="rId25"/>
  </externalReferences>
  <definedNames>
    <definedName name="_xlnm._FilterDatabase" localSheetId="11" hidden="1">surgeons!$A$1:$I$59</definedName>
    <definedName name="derivative">[1]detail!$I$2</definedName>
    <definedName name="total">[1]detail!$F$2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4" i="108" l="1"/>
  <c r="B83" i="108"/>
  <c r="B21" i="113"/>
  <c r="J37" i="115"/>
  <c r="M1" i="102"/>
  <c r="B82" i="108"/>
  <c r="K7" i="115"/>
  <c r="I1" i="102"/>
  <c r="K5" i="115" s="1"/>
  <c r="K4" i="115" s="1"/>
  <c r="B80" i="108"/>
  <c r="B81" i="108"/>
  <c r="B78" i="108"/>
  <c r="B79" i="108"/>
  <c r="B74" i="108"/>
  <c r="B75" i="108"/>
  <c r="B76" i="108"/>
  <c r="B77" i="108"/>
  <c r="B2" i="115"/>
  <c r="C2" i="115"/>
  <c r="U8" i="115"/>
  <c r="U9" i="115"/>
  <c r="U10" i="115"/>
  <c r="U7" i="115"/>
  <c r="B4" i="115"/>
  <c r="B5" i="115" s="1"/>
  <c r="C3" i="115"/>
  <c r="D3" i="115" s="1"/>
  <c r="E3" i="115" s="1"/>
  <c r="F3" i="115" s="1"/>
  <c r="G3" i="115" s="1"/>
  <c r="H3" i="115" s="1"/>
  <c r="F2" i="115"/>
  <c r="G2" i="115" s="1"/>
  <c r="H2" i="115" s="1"/>
  <c r="E2" i="115"/>
  <c r="F28" i="106"/>
  <c r="E11" i="106"/>
  <c r="E22" i="113"/>
  <c r="G24" i="106"/>
  <c r="F24" i="106"/>
  <c r="E24" i="106"/>
  <c r="F22" i="106"/>
  <c r="E22" i="106"/>
  <c r="C5" i="115" l="1"/>
  <c r="D5" i="115" s="1"/>
  <c r="E5" i="115" s="1"/>
  <c r="F5" i="115" s="1"/>
  <c r="G5" i="115" s="1"/>
  <c r="H5" i="115" s="1"/>
  <c r="B6" i="115"/>
  <c r="C4" i="115"/>
  <c r="D4" i="115" s="1"/>
  <c r="E4" i="115" s="1"/>
  <c r="F4" i="115" s="1"/>
  <c r="G4" i="115" s="1"/>
  <c r="H4" i="115" s="1"/>
  <c r="H1" i="103"/>
  <c r="B71" i="108"/>
  <c r="B72" i="108"/>
  <c r="B73" i="108"/>
  <c r="E28" i="106"/>
  <c r="B70" i="108"/>
  <c r="B69" i="108"/>
  <c r="B68" i="108"/>
  <c r="B67" i="108"/>
  <c r="B66" i="108"/>
  <c r="B65" i="108"/>
  <c r="B63" i="108"/>
  <c r="B64" i="108"/>
  <c r="B61" i="108"/>
  <c r="B62" i="108"/>
  <c r="B59" i="108"/>
  <c r="B60" i="108"/>
  <c r="B56" i="108"/>
  <c r="B57" i="108"/>
  <c r="B58" i="108"/>
  <c r="D28" i="106"/>
  <c r="E2" i="106"/>
  <c r="G21" i="106"/>
  <c r="G25" i="106" s="1"/>
  <c r="G20" i="106"/>
  <c r="F25" i="106"/>
  <c r="F3" i="106"/>
  <c r="F4" i="106"/>
  <c r="F5" i="106"/>
  <c r="F6" i="106"/>
  <c r="F7" i="106"/>
  <c r="F8" i="106"/>
  <c r="F9" i="106"/>
  <c r="F10" i="106"/>
  <c r="F2" i="106"/>
  <c r="E13" i="106"/>
  <c r="F20" i="106"/>
  <c r="E20" i="106"/>
  <c r="D24" i="106"/>
  <c r="D25" i="106" s="1"/>
  <c r="B55" i="108"/>
  <c r="B54" i="108"/>
  <c r="B50" i="108"/>
  <c r="B51" i="108"/>
  <c r="B52" i="108"/>
  <c r="B53" i="108"/>
  <c r="B49" i="108"/>
  <c r="B48" i="108"/>
  <c r="B47" i="108"/>
  <c r="B45" i="108"/>
  <c r="B46" i="108"/>
  <c r="B43" i="108"/>
  <c r="B44" i="108"/>
  <c r="B42" i="108"/>
  <c r="B40" i="108"/>
  <c r="B41" i="108"/>
  <c r="B38" i="108"/>
  <c r="B39" i="108"/>
  <c r="B36" i="108"/>
  <c r="B37" i="108"/>
  <c r="B34" i="108"/>
  <c r="B35" i="108"/>
  <c r="B33" i="108"/>
  <c r="B32" i="108"/>
  <c r="B31" i="108"/>
  <c r="B30" i="108"/>
  <c r="B29" i="108"/>
  <c r="B28" i="108"/>
  <c r="B27" i="108"/>
  <c r="B26" i="108"/>
  <c r="B24" i="108"/>
  <c r="B25" i="108"/>
  <c r="B23" i="108"/>
  <c r="B22" i="108"/>
  <c r="B2" i="108"/>
  <c r="B3" i="108"/>
  <c r="B4" i="108"/>
  <c r="B5" i="108"/>
  <c r="B6" i="108"/>
  <c r="B7" i="108"/>
  <c r="B8" i="108"/>
  <c r="B9" i="108"/>
  <c r="B10" i="108"/>
  <c r="B11" i="108"/>
  <c r="B12" i="108"/>
  <c r="B13" i="108"/>
  <c r="B14" i="108"/>
  <c r="A15" i="108"/>
  <c r="B15" i="108"/>
  <c r="A16" i="108"/>
  <c r="B16" i="108"/>
  <c r="B17" i="108"/>
  <c r="B18" i="108"/>
  <c r="B19" i="108"/>
  <c r="B20" i="108"/>
  <c r="B21" i="108"/>
  <c r="B1" i="108"/>
  <c r="R1" i="102"/>
  <c r="P1" i="102" s="1"/>
  <c r="C25" i="106"/>
  <c r="B25" i="106"/>
  <c r="E25" i="106"/>
  <c r="C11" i="106"/>
  <c r="C28" i="106"/>
  <c r="D14" i="106"/>
  <c r="E14" i="106"/>
  <c r="B28" i="106"/>
  <c r="D22" i="106"/>
  <c r="M104" i="102"/>
  <c r="M102" i="102"/>
  <c r="M90" i="102"/>
  <c r="M100" i="102"/>
  <c r="M56" i="102"/>
  <c r="C14" i="106"/>
  <c r="E5" i="106"/>
  <c r="E4" i="106"/>
  <c r="E3" i="106"/>
  <c r="D11" i="106"/>
  <c r="D2" i="106"/>
  <c r="E6" i="106"/>
  <c r="E7" i="106"/>
  <c r="E8" i="106"/>
  <c r="E9" i="106"/>
  <c r="E10" i="106"/>
  <c r="D3" i="106"/>
  <c r="D4" i="106"/>
  <c r="D5" i="106"/>
  <c r="D6" i="106"/>
  <c r="D7" i="106"/>
  <c r="D8" i="106"/>
  <c r="D9" i="106"/>
  <c r="D10" i="106"/>
  <c r="D13" i="106"/>
  <c r="D20" i="106"/>
  <c r="C20" i="106"/>
  <c r="C13" i="106"/>
  <c r="C12" i="106"/>
  <c r="C22" i="106"/>
  <c r="B22" i="106"/>
  <c r="C3" i="106"/>
  <c r="C4" i="106"/>
  <c r="C5" i="106"/>
  <c r="C6" i="106"/>
  <c r="C7" i="106"/>
  <c r="C8" i="106"/>
  <c r="C9" i="106"/>
  <c r="C10" i="106"/>
  <c r="C2" i="106"/>
  <c r="B16" i="106"/>
  <c r="L5" i="104"/>
  <c r="K8" i="104"/>
  <c r="L3" i="104"/>
  <c r="K3" i="104"/>
  <c r="D19" i="104"/>
  <c r="D18" i="104"/>
  <c r="D16" i="104"/>
  <c r="D5" i="104"/>
  <c r="D12" i="104"/>
  <c r="D11" i="104"/>
  <c r="D9" i="104"/>
  <c r="D3" i="104"/>
  <c r="D21" i="104"/>
  <c r="C3" i="103"/>
  <c r="D3" i="103" l="1"/>
  <c r="E3" i="103" s="1"/>
  <c r="F3" i="103" s="1"/>
  <c r="G3" i="103" s="1"/>
  <c r="H3" i="103" s="1"/>
  <c r="B4" i="103" s="1"/>
  <c r="C4" i="103" s="1"/>
  <c r="D4" i="103" s="1"/>
  <c r="E4" i="103" s="1"/>
  <c r="F4" i="103" s="1"/>
  <c r="G4" i="103" s="1"/>
  <c r="H4" i="103" s="1"/>
  <c r="B5" i="103" s="1"/>
  <c r="C5" i="103" s="1"/>
  <c r="D5" i="103" s="1"/>
  <c r="E5" i="103" s="1"/>
  <c r="F5" i="103" s="1"/>
  <c r="G5" i="103" s="1"/>
  <c r="H5" i="103" s="1"/>
  <c r="B6" i="103" s="1"/>
  <c r="C6" i="103" s="1"/>
  <c r="D6" i="103" s="1"/>
  <c r="E6" i="103" s="1"/>
  <c r="F6" i="103" s="1"/>
  <c r="G6" i="103" s="1"/>
  <c r="H6" i="103" s="1"/>
  <c r="B7" i="103" s="1"/>
  <c r="C7" i="103" s="1"/>
  <c r="D7" i="103" s="1"/>
  <c r="E7" i="103" s="1"/>
  <c r="F7" i="103" s="1"/>
  <c r="G7" i="103" s="1"/>
  <c r="H7" i="103" s="1"/>
  <c r="B8" i="103" s="1"/>
  <c r="C8" i="103" s="1"/>
  <c r="D8" i="103" s="1"/>
  <c r="E8" i="103" s="1"/>
  <c r="F8" i="103" s="1"/>
  <c r="G8" i="103" s="1"/>
  <c r="H8" i="103" s="1"/>
  <c r="B9" i="103" s="1"/>
  <c r="C9" i="103" s="1"/>
  <c r="D9" i="103" s="1"/>
  <c r="E9" i="103" s="1"/>
  <c r="F9" i="103" s="1"/>
  <c r="G9" i="103" s="1"/>
  <c r="H9" i="103" s="1"/>
  <c r="B10" i="103" s="1"/>
  <c r="C10" i="103" s="1"/>
  <c r="D10" i="103" s="1"/>
  <c r="E10" i="103" s="1"/>
  <c r="F10" i="103" s="1"/>
  <c r="G10" i="103" s="1"/>
  <c r="H10" i="103" s="1"/>
  <c r="B11" i="103" s="1"/>
  <c r="C11" i="103" s="1"/>
  <c r="D11" i="103" s="1"/>
  <c r="E11" i="103" s="1"/>
  <c r="F11" i="103" s="1"/>
  <c r="G11" i="103" s="1"/>
  <c r="H11" i="103" s="1"/>
  <c r="B12" i="103" s="1"/>
  <c r="C12" i="103" s="1"/>
  <c r="D12" i="103" s="1"/>
  <c r="E12" i="103" s="1"/>
  <c r="F12" i="103" s="1"/>
  <c r="G12" i="103" s="1"/>
  <c r="H12" i="103" s="1"/>
  <c r="B13" i="103" s="1"/>
  <c r="C13" i="103" s="1"/>
  <c r="D13" i="103" s="1"/>
  <c r="E13" i="103" s="1"/>
  <c r="F13" i="103" s="1"/>
  <c r="G13" i="103" s="1"/>
  <c r="H13" i="103" s="1"/>
  <c r="B14" i="103" s="1"/>
  <c r="C14" i="103" s="1"/>
  <c r="D14" i="103" s="1"/>
  <c r="E14" i="103" s="1"/>
  <c r="F14" i="103" s="1"/>
  <c r="G14" i="103" s="1"/>
  <c r="H14" i="103" s="1"/>
  <c r="B15" i="103" s="1"/>
  <c r="C15" i="103" s="1"/>
  <c r="D15" i="103" s="1"/>
  <c r="E15" i="103" s="1"/>
  <c r="F15" i="103" s="1"/>
  <c r="G15" i="103" s="1"/>
  <c r="H15" i="103" s="1"/>
  <c r="B16" i="103" s="1"/>
  <c r="C16" i="103" s="1"/>
  <c r="D16" i="103" s="1"/>
  <c r="E16" i="103" s="1"/>
  <c r="F16" i="103" s="1"/>
  <c r="G16" i="103" s="1"/>
  <c r="H16" i="103" s="1"/>
  <c r="B17" i="103" s="1"/>
  <c r="C17" i="103" s="1"/>
  <c r="D17" i="103" s="1"/>
  <c r="E17" i="103" s="1"/>
  <c r="F17" i="103" s="1"/>
  <c r="G17" i="103" s="1"/>
  <c r="H17" i="103" s="1"/>
  <c r="B18" i="103" s="1"/>
  <c r="C18" i="103" s="1"/>
  <c r="D18" i="103" s="1"/>
  <c r="E18" i="103" s="1"/>
  <c r="F18" i="103" s="1"/>
  <c r="G18" i="103" s="1"/>
  <c r="H18" i="103" s="1"/>
  <c r="B19" i="103" s="1"/>
  <c r="C19" i="103" s="1"/>
  <c r="D19" i="103" s="1"/>
  <c r="E19" i="103" s="1"/>
  <c r="F19" i="103" s="1"/>
  <c r="G19" i="103" s="1"/>
  <c r="H19" i="103" s="1"/>
  <c r="B20" i="103" s="1"/>
  <c r="C20" i="103" s="1"/>
  <c r="D20" i="103" s="1"/>
  <c r="E20" i="103" s="1"/>
  <c r="F20" i="103" s="1"/>
  <c r="G20" i="103" s="1"/>
  <c r="H20" i="103" s="1"/>
  <c r="B21" i="103" s="1"/>
  <c r="C21" i="103" s="1"/>
  <c r="D21" i="103" s="1"/>
  <c r="E21" i="103" s="1"/>
  <c r="F21" i="103" s="1"/>
  <c r="G21" i="103" s="1"/>
  <c r="H21" i="103" s="1"/>
  <c r="B22" i="103" s="1"/>
  <c r="C22" i="103" s="1"/>
  <c r="D22" i="103" s="1"/>
  <c r="E22" i="103" s="1"/>
  <c r="F22" i="103" s="1"/>
  <c r="G22" i="103" s="1"/>
  <c r="H22" i="103" s="1"/>
  <c r="B23" i="103" s="1"/>
  <c r="C23" i="103" s="1"/>
  <c r="D23" i="103" s="1"/>
  <c r="E23" i="103" s="1"/>
  <c r="F23" i="103" s="1"/>
  <c r="G23" i="103" s="1"/>
  <c r="H23" i="103" s="1"/>
  <c r="B24" i="103" s="1"/>
  <c r="C24" i="103" s="1"/>
  <c r="D24" i="103" s="1"/>
  <c r="E24" i="103" s="1"/>
  <c r="F24" i="103" s="1"/>
  <c r="G24" i="103" s="1"/>
  <c r="H24" i="103" s="1"/>
  <c r="B25" i="103" s="1"/>
  <c r="C25" i="103" s="1"/>
  <c r="D25" i="103" s="1"/>
  <c r="E25" i="103" s="1"/>
  <c r="F25" i="103" s="1"/>
  <c r="G25" i="103" s="1"/>
  <c r="H25" i="103" s="1"/>
  <c r="B26" i="103" s="1"/>
  <c r="C26" i="103" s="1"/>
  <c r="D26" i="103" s="1"/>
  <c r="E26" i="103" s="1"/>
  <c r="F26" i="103" s="1"/>
  <c r="G26" i="103" s="1"/>
  <c r="H26" i="103" s="1"/>
  <c r="B27" i="103" s="1"/>
  <c r="C27" i="103" s="1"/>
  <c r="D27" i="103" s="1"/>
  <c r="E27" i="103" s="1"/>
  <c r="F27" i="103" s="1"/>
  <c r="G27" i="103" s="1"/>
  <c r="H27" i="103" s="1"/>
  <c r="B28" i="103" s="1"/>
  <c r="C28" i="103" s="1"/>
  <c r="D28" i="103" s="1"/>
  <c r="E28" i="103" s="1"/>
  <c r="F28" i="103" s="1"/>
  <c r="G28" i="103" s="1"/>
  <c r="H28" i="103" s="1"/>
  <c r="B29" i="103" s="1"/>
  <c r="C29" i="103" s="1"/>
  <c r="D29" i="103" s="1"/>
  <c r="E29" i="103" s="1"/>
  <c r="F29" i="103" s="1"/>
  <c r="G29" i="103" s="1"/>
  <c r="H29" i="103" s="1"/>
  <c r="B30" i="103" s="1"/>
  <c r="C30" i="103" s="1"/>
  <c r="D30" i="103" s="1"/>
  <c r="E30" i="103" s="1"/>
  <c r="F30" i="103" s="1"/>
  <c r="G30" i="103" s="1"/>
  <c r="H30" i="103" s="1"/>
  <c r="B31" i="103" s="1"/>
  <c r="C31" i="103" s="1"/>
  <c r="D31" i="103" s="1"/>
  <c r="E31" i="103" s="1"/>
  <c r="F31" i="103" s="1"/>
  <c r="G31" i="103" s="1"/>
  <c r="H31" i="103" s="1"/>
  <c r="B32" i="103" s="1"/>
  <c r="C32" i="103" s="1"/>
  <c r="D32" i="103" s="1"/>
  <c r="E32" i="103" s="1"/>
  <c r="F32" i="103" s="1"/>
  <c r="G32" i="103" s="1"/>
  <c r="H32" i="103" s="1"/>
  <c r="B33" i="103" s="1"/>
  <c r="C33" i="103" s="1"/>
  <c r="D33" i="103" s="1"/>
  <c r="E33" i="103" s="1"/>
  <c r="F33" i="103" s="1"/>
  <c r="G33" i="103" s="1"/>
  <c r="H33" i="103" s="1"/>
  <c r="B34" i="103" s="1"/>
  <c r="C34" i="103" s="1"/>
  <c r="D34" i="103" s="1"/>
  <c r="E34" i="103" s="1"/>
  <c r="F34" i="103" s="1"/>
  <c r="G34" i="103" s="1"/>
  <c r="H34" i="103" s="1"/>
  <c r="B35" i="103" s="1"/>
  <c r="C35" i="103" s="1"/>
  <c r="D35" i="103" s="1"/>
  <c r="E35" i="103" s="1"/>
  <c r="F35" i="103" s="1"/>
  <c r="G35" i="103" s="1"/>
  <c r="H35" i="103" s="1"/>
  <c r="B36" i="103" s="1"/>
  <c r="C36" i="103" s="1"/>
  <c r="D36" i="103" s="1"/>
  <c r="E36" i="103" s="1"/>
  <c r="F36" i="103" s="1"/>
  <c r="G36" i="103" s="1"/>
  <c r="H36" i="103" s="1"/>
  <c r="B37" i="103" s="1"/>
  <c r="C37" i="103" s="1"/>
  <c r="D37" i="103" s="1"/>
  <c r="E37" i="103" s="1"/>
  <c r="F37" i="103" s="1"/>
  <c r="G37" i="103" s="1"/>
  <c r="H37" i="103" s="1"/>
  <c r="B38" i="103" s="1"/>
  <c r="C38" i="103" s="1"/>
  <c r="D38" i="103" s="1"/>
  <c r="E38" i="103" s="1"/>
  <c r="F38" i="103" s="1"/>
  <c r="G38" i="103" s="1"/>
  <c r="H38" i="103" s="1"/>
  <c r="B39" i="103" s="1"/>
  <c r="C39" i="103" s="1"/>
  <c r="D39" i="103" s="1"/>
  <c r="E39" i="103" s="1"/>
  <c r="F39" i="103" s="1"/>
  <c r="G39" i="103" s="1"/>
  <c r="H39" i="103" s="1"/>
  <c r="B40" i="103" s="1"/>
  <c r="C40" i="103" s="1"/>
  <c r="D40" i="103" s="1"/>
  <c r="E40" i="103" s="1"/>
  <c r="F40" i="103" s="1"/>
  <c r="G40" i="103" s="1"/>
  <c r="H40" i="103" s="1"/>
  <c r="B41" i="103" s="1"/>
  <c r="C41" i="103" s="1"/>
  <c r="D41" i="103" s="1"/>
  <c r="E41" i="103" s="1"/>
  <c r="F41" i="103" s="1"/>
  <c r="G41" i="103" s="1"/>
  <c r="H41" i="103" s="1"/>
  <c r="B42" i="103" s="1"/>
  <c r="C42" i="103" s="1"/>
  <c r="D42" i="103" s="1"/>
  <c r="E42" i="103" s="1"/>
  <c r="F42" i="103" s="1"/>
  <c r="G42" i="103" s="1"/>
  <c r="H42" i="103" s="1"/>
  <c r="B3" i="103"/>
  <c r="B2" i="103" s="1"/>
  <c r="B7" i="115"/>
  <c r="C6" i="115"/>
  <c r="D6" i="115" s="1"/>
  <c r="E6" i="115" s="1"/>
  <c r="F6" i="115" s="1"/>
  <c r="G6" i="115" s="1"/>
  <c r="H6" i="115" s="1"/>
  <c r="C16" i="106"/>
  <c r="E12" i="106"/>
  <c r="E16" i="106" s="1"/>
  <c r="H2" i="103"/>
  <c r="B3" i="102"/>
  <c r="B4" i="102" s="1"/>
  <c r="B5" i="102" s="1"/>
  <c r="B6" i="102" s="1"/>
  <c r="B7" i="102" s="1"/>
  <c r="B8" i="102" s="1"/>
  <c r="B9" i="102" s="1"/>
  <c r="B10" i="102" s="1"/>
  <c r="B11" i="102" s="1"/>
  <c r="B12" i="102" s="1"/>
  <c r="B13" i="102" s="1"/>
  <c r="B14" i="102" s="1"/>
  <c r="B15" i="102" s="1"/>
  <c r="B16" i="102" s="1"/>
  <c r="B17" i="102" s="1"/>
  <c r="B18" i="102" s="1"/>
  <c r="B19" i="102" s="1"/>
  <c r="B20" i="102" s="1"/>
  <c r="B21" i="102" s="1"/>
  <c r="B22" i="102" s="1"/>
  <c r="B23" i="102" s="1"/>
  <c r="B24" i="102" s="1"/>
  <c r="B25" i="102" s="1"/>
  <c r="B26" i="102" s="1"/>
  <c r="B27" i="102" s="1"/>
  <c r="B28" i="102" s="1"/>
  <c r="B29" i="102" s="1"/>
  <c r="B30" i="102" s="1"/>
  <c r="B31" i="102" s="1"/>
  <c r="B32" i="102" s="1"/>
  <c r="B33" i="102" s="1"/>
  <c r="B34" i="102" s="1"/>
  <c r="B35" i="102" s="1"/>
  <c r="B36" i="102" s="1"/>
  <c r="B37" i="102" s="1"/>
  <c r="B38" i="102" s="1"/>
  <c r="B39" i="102" s="1"/>
  <c r="B40" i="102" s="1"/>
  <c r="B41" i="102" s="1"/>
  <c r="B42" i="102" s="1"/>
  <c r="B43" i="102" s="1"/>
  <c r="D1" i="73"/>
  <c r="C7" i="115" l="1"/>
  <c r="D7" i="115" s="1"/>
  <c r="E7" i="115" s="1"/>
  <c r="F7" i="115" s="1"/>
  <c r="G7" i="115" s="1"/>
  <c r="H7" i="115" s="1"/>
  <c r="B8" i="115"/>
  <c r="D12" i="106"/>
  <c r="D16" i="106" s="1"/>
  <c r="B44" i="102"/>
  <c r="B45" i="102" s="1"/>
  <c r="B46" i="102" s="1"/>
  <c r="B47" i="102" s="1"/>
  <c r="B48" i="102" s="1"/>
  <c r="B49" i="102" s="1"/>
  <c r="B50" i="102" s="1"/>
  <c r="B51" i="102" s="1"/>
  <c r="B52" i="102" s="1"/>
  <c r="B53" i="102" s="1"/>
  <c r="B54" i="102" s="1"/>
  <c r="B55" i="102" s="1"/>
  <c r="B56" i="102" s="1"/>
  <c r="B57" i="102" s="1"/>
  <c r="B58" i="102" s="1"/>
  <c r="B59" i="102" s="1"/>
  <c r="B60" i="102" s="1"/>
  <c r="B61" i="102" s="1"/>
  <c r="B62" i="102" s="1"/>
  <c r="B63" i="102" s="1"/>
  <c r="B64" i="102" s="1"/>
  <c r="B65" i="102" s="1"/>
  <c r="B66" i="102" s="1"/>
  <c r="B67" i="102" s="1"/>
  <c r="B68" i="102" s="1"/>
  <c r="B69" i="102" s="1"/>
  <c r="B70" i="102" s="1"/>
  <c r="B71" i="102" s="1"/>
  <c r="B72" i="102" s="1"/>
  <c r="B73" i="102" s="1"/>
  <c r="B74" i="102" s="1"/>
  <c r="B75" i="102" s="1"/>
  <c r="B76" i="102" s="1"/>
  <c r="B77" i="102" s="1"/>
  <c r="B78" i="102" s="1"/>
  <c r="B79" i="102" s="1"/>
  <c r="B80" i="102" s="1"/>
  <c r="B81" i="102" s="1"/>
  <c r="B82" i="102" s="1"/>
  <c r="B83" i="102" s="1"/>
  <c r="B84" i="102" s="1"/>
  <c r="B85" i="102" s="1"/>
  <c r="B86" i="102" s="1"/>
  <c r="B87" i="102" s="1"/>
  <c r="B88" i="102" s="1"/>
  <c r="B89" i="102" s="1"/>
  <c r="B90" i="102" s="1"/>
  <c r="J2" i="83"/>
  <c r="J3" i="83"/>
  <c r="J1" i="83"/>
  <c r="I2" i="83"/>
  <c r="I3" i="83"/>
  <c r="I1" i="83"/>
  <c r="C2" i="83"/>
  <c r="B33" i="80"/>
  <c r="B32" i="80"/>
  <c r="B31" i="80"/>
  <c r="B30" i="80"/>
  <c r="B29" i="80"/>
  <c r="B28" i="80"/>
  <c r="B27" i="80"/>
  <c r="B26" i="80"/>
  <c r="B25" i="80"/>
  <c r="B24" i="80"/>
  <c r="B23" i="80"/>
  <c r="B22" i="80"/>
  <c r="B21" i="80"/>
  <c r="B20" i="80"/>
  <c r="B19" i="80"/>
  <c r="B18" i="80"/>
  <c r="B17" i="80"/>
  <c r="B16" i="80"/>
  <c r="B15" i="80"/>
  <c r="B14" i="80"/>
  <c r="B13" i="80"/>
  <c r="B12" i="80"/>
  <c r="B11" i="80"/>
  <c r="B10" i="80"/>
  <c r="B9" i="80"/>
  <c r="B8" i="80"/>
  <c r="B7" i="80"/>
  <c r="B6" i="80"/>
  <c r="B5" i="80"/>
  <c r="B4" i="80"/>
  <c r="B34" i="80"/>
  <c r="B5" i="73"/>
  <c r="Z17" i="22"/>
  <c r="AB17" i="22"/>
  <c r="X17" i="22"/>
  <c r="V17" i="22"/>
  <c r="D16" i="22"/>
  <c r="E16" i="22"/>
  <c r="D15" i="22"/>
  <c r="E15" i="22"/>
  <c r="K6" i="22"/>
  <c r="K15" i="22"/>
  <c r="E9" i="50"/>
  <c r="E97" i="50"/>
  <c r="Q5" i="22"/>
  <c r="Q4" i="22"/>
  <c r="Q3" i="22"/>
  <c r="Q2" i="22"/>
  <c r="Q15" i="22"/>
  <c r="P13" i="22"/>
  <c r="P12" i="22"/>
  <c r="P11" i="22"/>
  <c r="C16" i="22"/>
  <c r="B16" i="22"/>
  <c r="B15" i="22"/>
  <c r="A15" i="22" s="1"/>
  <c r="C15" i="22"/>
  <c r="P10" i="22"/>
  <c r="P9" i="22"/>
  <c r="P8" i="22"/>
  <c r="P7" i="22"/>
  <c r="P6" i="22"/>
  <c r="J15" i="22"/>
  <c r="I15" i="22"/>
  <c r="H15" i="22"/>
  <c r="G15" i="22"/>
  <c r="N14" i="22"/>
  <c r="O13" i="22"/>
  <c r="N13" i="22"/>
  <c r="O12" i="22"/>
  <c r="N12" i="22"/>
  <c r="O11" i="22"/>
  <c r="N11" i="22"/>
  <c r="O10" i="22"/>
  <c r="N10" i="22"/>
  <c r="O9" i="22"/>
  <c r="N9" i="22"/>
  <c r="O8" i="22"/>
  <c r="N8" i="22"/>
  <c r="O7" i="22"/>
  <c r="O15" i="22" s="1"/>
  <c r="N7" i="22"/>
  <c r="O6" i="22"/>
  <c r="N6" i="22"/>
  <c r="P5" i="22"/>
  <c r="O5" i="22"/>
  <c r="N5" i="22"/>
  <c r="P4" i="22"/>
  <c r="O4" i="22"/>
  <c r="N4" i="22"/>
  <c r="P3" i="22"/>
  <c r="P15" i="22" s="1"/>
  <c r="O3" i="22"/>
  <c r="N3" i="22"/>
  <c r="N15" i="22" s="1"/>
  <c r="U2" i="22"/>
  <c r="U3" i="22" s="1"/>
  <c r="T3" i="22"/>
  <c r="P2" i="22"/>
  <c r="O2" i="22"/>
  <c r="N2" i="22"/>
  <c r="C8" i="115" l="1"/>
  <c r="D8" i="115" s="1"/>
  <c r="E8" i="115" s="1"/>
  <c r="F8" i="115" s="1"/>
  <c r="G8" i="115" s="1"/>
  <c r="H8" i="115" s="1"/>
  <c r="B9" i="115"/>
  <c r="B91" i="102"/>
  <c r="A1" i="108"/>
  <c r="C3" i="80"/>
  <c r="M15" i="22"/>
  <c r="T4" i="22"/>
  <c r="U4" i="22" s="1"/>
  <c r="B17" i="22"/>
  <c r="B10" i="115" l="1"/>
  <c r="C9" i="115"/>
  <c r="D9" i="115" s="1"/>
  <c r="E9" i="115" s="1"/>
  <c r="F9" i="115" s="1"/>
  <c r="G9" i="115" s="1"/>
  <c r="H9" i="115" s="1"/>
  <c r="B92" i="102"/>
  <c r="A2" i="108"/>
  <c r="T5" i="22"/>
  <c r="U5" i="22"/>
  <c r="C10" i="115" l="1"/>
  <c r="D10" i="115" s="1"/>
  <c r="E10" i="115" s="1"/>
  <c r="F10" i="115" s="1"/>
  <c r="G10" i="115" s="1"/>
  <c r="H10" i="115" s="1"/>
  <c r="B11" i="115"/>
  <c r="B93" i="102"/>
  <c r="A3" i="108"/>
  <c r="T6" i="22"/>
  <c r="U6" i="22" s="1"/>
  <c r="B12" i="115" l="1"/>
  <c r="C11" i="115"/>
  <c r="D11" i="115" s="1"/>
  <c r="E11" i="115" s="1"/>
  <c r="F11" i="115" s="1"/>
  <c r="G11" i="115" s="1"/>
  <c r="H11" i="115" s="1"/>
  <c r="B94" i="102"/>
  <c r="A4" i="108"/>
  <c r="T7" i="22"/>
  <c r="U7" i="22"/>
  <c r="C12" i="115" l="1"/>
  <c r="D12" i="115" s="1"/>
  <c r="E12" i="115" s="1"/>
  <c r="F12" i="115" s="1"/>
  <c r="G12" i="115" s="1"/>
  <c r="H12" i="115" s="1"/>
  <c r="B13" i="115"/>
  <c r="B95" i="102"/>
  <c r="A5" i="108"/>
  <c r="T8" i="22"/>
  <c r="U8" i="22"/>
  <c r="C13" i="115" l="1"/>
  <c r="D13" i="115" s="1"/>
  <c r="E13" i="115" s="1"/>
  <c r="F13" i="115" s="1"/>
  <c r="G13" i="115" s="1"/>
  <c r="H13" i="115" s="1"/>
  <c r="B14" i="115"/>
  <c r="B96" i="102"/>
  <c r="A6" i="108"/>
  <c r="T9" i="22"/>
  <c r="U9" i="22" s="1"/>
  <c r="B15" i="115" l="1"/>
  <c r="C14" i="115"/>
  <c r="D14" i="115" s="1"/>
  <c r="E14" i="115" s="1"/>
  <c r="F14" i="115" s="1"/>
  <c r="G14" i="115" s="1"/>
  <c r="H14" i="115" s="1"/>
  <c r="B97" i="102"/>
  <c r="A7" i="108"/>
  <c r="T10" i="22"/>
  <c r="U10" i="22"/>
  <c r="C15" i="115" l="1"/>
  <c r="D15" i="115" s="1"/>
  <c r="E15" i="115" s="1"/>
  <c r="F15" i="115" s="1"/>
  <c r="G15" i="115" s="1"/>
  <c r="H15" i="115" s="1"/>
  <c r="B16" i="115"/>
  <c r="B98" i="102"/>
  <c r="A8" i="108"/>
  <c r="T11" i="22"/>
  <c r="U11" i="22"/>
  <c r="B17" i="115" l="1"/>
  <c r="C16" i="115"/>
  <c r="D16" i="115" s="1"/>
  <c r="E16" i="115" s="1"/>
  <c r="F16" i="115" s="1"/>
  <c r="G16" i="115" s="1"/>
  <c r="H16" i="115" s="1"/>
  <c r="B99" i="102"/>
  <c r="A9" i="108"/>
  <c r="T12" i="22"/>
  <c r="U12" i="22"/>
  <c r="C17" i="115" l="1"/>
  <c r="D17" i="115" s="1"/>
  <c r="E17" i="115" s="1"/>
  <c r="F17" i="115" s="1"/>
  <c r="G17" i="115" s="1"/>
  <c r="H17" i="115" s="1"/>
  <c r="B18" i="115"/>
  <c r="B100" i="102"/>
  <c r="A10" i="108"/>
  <c r="T13" i="22"/>
  <c r="U13" i="22"/>
  <c r="B19" i="115" l="1"/>
  <c r="C18" i="115"/>
  <c r="D18" i="115" s="1"/>
  <c r="E18" i="115" s="1"/>
  <c r="F18" i="115" s="1"/>
  <c r="G18" i="115" s="1"/>
  <c r="H18" i="115" s="1"/>
  <c r="B101" i="102"/>
  <c r="A11" i="108"/>
  <c r="V2" i="22"/>
  <c r="W2" i="22"/>
  <c r="T15" i="22"/>
  <c r="C19" i="115" l="1"/>
  <c r="D19" i="115" s="1"/>
  <c r="E19" i="115" s="1"/>
  <c r="F19" i="115" s="1"/>
  <c r="G19" i="115" s="1"/>
  <c r="H19" i="115" s="1"/>
  <c r="B20" i="115"/>
  <c r="B102" i="102"/>
  <c r="A12" i="108"/>
  <c r="V3" i="22"/>
  <c r="W3" i="22"/>
  <c r="C20" i="115" l="1"/>
  <c r="D20" i="115" s="1"/>
  <c r="E20" i="115" s="1"/>
  <c r="F20" i="115" s="1"/>
  <c r="G20" i="115" s="1"/>
  <c r="H20" i="115" s="1"/>
  <c r="B21" i="115"/>
  <c r="B103" i="102"/>
  <c r="A13" i="108"/>
  <c r="V4" i="22"/>
  <c r="W4" i="22"/>
  <c r="B22" i="115" l="1"/>
  <c r="C21" i="115"/>
  <c r="D21" i="115" s="1"/>
  <c r="E21" i="115" s="1"/>
  <c r="F21" i="115" s="1"/>
  <c r="G21" i="115" s="1"/>
  <c r="H21" i="115" s="1"/>
  <c r="B106" i="102"/>
  <c r="A14" i="108"/>
  <c r="V5" i="22"/>
  <c r="W5" i="22" s="1"/>
  <c r="C22" i="115" l="1"/>
  <c r="D22" i="115" s="1"/>
  <c r="E22" i="115" s="1"/>
  <c r="F22" i="115" s="1"/>
  <c r="G22" i="115" s="1"/>
  <c r="H22" i="115" s="1"/>
  <c r="B23" i="115"/>
  <c r="B107" i="102"/>
  <c r="A17" i="108"/>
  <c r="V6" i="22"/>
  <c r="W6" i="22" s="1"/>
  <c r="B24" i="115" l="1"/>
  <c r="C23" i="115"/>
  <c r="D23" i="115" s="1"/>
  <c r="E23" i="115" s="1"/>
  <c r="F23" i="115" s="1"/>
  <c r="G23" i="115" s="1"/>
  <c r="H23" i="115" s="1"/>
  <c r="B108" i="102"/>
  <c r="A18" i="108"/>
  <c r="V7" i="22"/>
  <c r="W7" i="22"/>
  <c r="C24" i="115" l="1"/>
  <c r="D24" i="115" s="1"/>
  <c r="E24" i="115" s="1"/>
  <c r="F24" i="115" s="1"/>
  <c r="G24" i="115" s="1"/>
  <c r="H24" i="115" s="1"/>
  <c r="B25" i="115"/>
  <c r="B109" i="102"/>
  <c r="A19" i="108"/>
  <c r="V8" i="22"/>
  <c r="W8" i="22" s="1"/>
  <c r="C25" i="115" l="1"/>
  <c r="D25" i="115" s="1"/>
  <c r="E25" i="115" s="1"/>
  <c r="F25" i="115" s="1"/>
  <c r="G25" i="115" s="1"/>
  <c r="H25" i="115" s="1"/>
  <c r="B26" i="115"/>
  <c r="B110" i="102"/>
  <c r="A20" i="108"/>
  <c r="V9" i="22"/>
  <c r="W9" i="22"/>
  <c r="B27" i="115" l="1"/>
  <c r="C26" i="115"/>
  <c r="D26" i="115" s="1"/>
  <c r="E26" i="115" s="1"/>
  <c r="F26" i="115" s="1"/>
  <c r="G26" i="115" s="1"/>
  <c r="H26" i="115" s="1"/>
  <c r="B111" i="102"/>
  <c r="A21" i="108"/>
  <c r="V10" i="22"/>
  <c r="W10" i="22"/>
  <c r="C27" i="115" l="1"/>
  <c r="D27" i="115" s="1"/>
  <c r="E27" i="115" s="1"/>
  <c r="F27" i="115" s="1"/>
  <c r="G27" i="115" s="1"/>
  <c r="H27" i="115" s="1"/>
  <c r="B28" i="115"/>
  <c r="B112" i="102"/>
  <c r="A22" i="108"/>
  <c r="V11" i="22"/>
  <c r="W11" i="22" s="1"/>
  <c r="B29" i="115" l="1"/>
  <c r="C28" i="115"/>
  <c r="D28" i="115" s="1"/>
  <c r="E28" i="115" s="1"/>
  <c r="F28" i="115" s="1"/>
  <c r="G28" i="115" s="1"/>
  <c r="H28" i="115" s="1"/>
  <c r="B113" i="102"/>
  <c r="A23" i="108"/>
  <c r="V12" i="22"/>
  <c r="W12" i="22" s="1"/>
  <c r="C29" i="115" l="1"/>
  <c r="D29" i="115" s="1"/>
  <c r="E29" i="115" s="1"/>
  <c r="F29" i="115" s="1"/>
  <c r="G29" i="115" s="1"/>
  <c r="H29" i="115" s="1"/>
  <c r="B30" i="115"/>
  <c r="B114" i="102"/>
  <c r="A24" i="108"/>
  <c r="V13" i="22"/>
  <c r="W13" i="22" s="1"/>
  <c r="C30" i="115" l="1"/>
  <c r="D30" i="115" s="1"/>
  <c r="E30" i="115" s="1"/>
  <c r="F30" i="115" s="1"/>
  <c r="G30" i="115" s="1"/>
  <c r="H30" i="115" s="1"/>
  <c r="B31" i="115"/>
  <c r="B115" i="102"/>
  <c r="A25" i="108"/>
  <c r="V15" i="22"/>
  <c r="X2" i="22"/>
  <c r="Y2" i="22"/>
  <c r="C31" i="115" l="1"/>
  <c r="D31" i="115" s="1"/>
  <c r="E31" i="115" s="1"/>
  <c r="F31" i="115" s="1"/>
  <c r="G31" i="115" s="1"/>
  <c r="H31" i="115" s="1"/>
  <c r="B32" i="115"/>
  <c r="B116" i="102"/>
  <c r="A26" i="108"/>
  <c r="X3" i="22"/>
  <c r="Y3" i="22"/>
  <c r="C32" i="115" l="1"/>
  <c r="D32" i="115" s="1"/>
  <c r="E32" i="115" s="1"/>
  <c r="F32" i="115" s="1"/>
  <c r="G32" i="115" s="1"/>
  <c r="H32" i="115" s="1"/>
  <c r="B33" i="115"/>
  <c r="B117" i="102"/>
  <c r="A27" i="108"/>
  <c r="X4" i="22"/>
  <c r="Y4" i="22"/>
  <c r="B34" i="115" l="1"/>
  <c r="C33" i="115"/>
  <c r="D33" i="115" s="1"/>
  <c r="E33" i="115" s="1"/>
  <c r="F33" i="115" s="1"/>
  <c r="G33" i="115" s="1"/>
  <c r="H33" i="115" s="1"/>
  <c r="B118" i="102"/>
  <c r="A28" i="108"/>
  <c r="X5" i="22"/>
  <c r="Y5" i="22"/>
  <c r="C34" i="115" l="1"/>
  <c r="D34" i="115" s="1"/>
  <c r="E34" i="115" s="1"/>
  <c r="F34" i="115" s="1"/>
  <c r="G34" i="115" s="1"/>
  <c r="H34" i="115" s="1"/>
  <c r="B35" i="115"/>
  <c r="B119" i="102"/>
  <c r="A29" i="108"/>
  <c r="X6" i="22"/>
  <c r="Y6" i="22"/>
  <c r="B36" i="115" l="1"/>
  <c r="C35" i="115"/>
  <c r="D35" i="115" s="1"/>
  <c r="E35" i="115" s="1"/>
  <c r="F35" i="115" s="1"/>
  <c r="G35" i="115" s="1"/>
  <c r="H35" i="115" s="1"/>
  <c r="B120" i="102"/>
  <c r="A30" i="108"/>
  <c r="X7" i="22"/>
  <c r="Y7" i="22" s="1"/>
  <c r="B37" i="115" l="1"/>
  <c r="C36" i="115"/>
  <c r="D36" i="115" s="1"/>
  <c r="E36" i="115" s="1"/>
  <c r="F36" i="115" s="1"/>
  <c r="G36" i="115" s="1"/>
  <c r="H36" i="115" s="1"/>
  <c r="B121" i="102"/>
  <c r="A31" i="108"/>
  <c r="X8" i="22"/>
  <c r="Y8" i="22"/>
  <c r="C37" i="115" l="1"/>
  <c r="D37" i="115" s="1"/>
  <c r="E37" i="115" s="1"/>
  <c r="F37" i="115" s="1"/>
  <c r="G37" i="115" s="1"/>
  <c r="H37" i="115" s="1"/>
  <c r="B38" i="115"/>
  <c r="B122" i="102"/>
  <c r="A32" i="108"/>
  <c r="X9" i="22"/>
  <c r="Y9" i="22"/>
  <c r="B39" i="115" l="1"/>
  <c r="C38" i="115"/>
  <c r="D38" i="115" s="1"/>
  <c r="E38" i="115" s="1"/>
  <c r="F38" i="115" s="1"/>
  <c r="G38" i="115" s="1"/>
  <c r="H38" i="115" s="1"/>
  <c r="B123" i="102"/>
  <c r="A33" i="108"/>
  <c r="X10" i="22"/>
  <c r="Y10" i="22"/>
  <c r="C39" i="115" l="1"/>
  <c r="D39" i="115" s="1"/>
  <c r="E39" i="115" s="1"/>
  <c r="F39" i="115" s="1"/>
  <c r="G39" i="115" s="1"/>
  <c r="H39" i="115" s="1"/>
  <c r="B40" i="115"/>
  <c r="B124" i="102"/>
  <c r="A34" i="108"/>
  <c r="X11" i="22"/>
  <c r="Y11" i="22" s="1"/>
  <c r="B41" i="115" l="1"/>
  <c r="C40" i="115"/>
  <c r="D40" i="115" s="1"/>
  <c r="E40" i="115" s="1"/>
  <c r="F40" i="115" s="1"/>
  <c r="G40" i="115" s="1"/>
  <c r="H40" i="115" s="1"/>
  <c r="B125" i="102"/>
  <c r="A35" i="108"/>
  <c r="X12" i="22"/>
  <c r="Y12" i="22" s="1"/>
  <c r="C41" i="115" l="1"/>
  <c r="D41" i="115" s="1"/>
  <c r="E41" i="115" s="1"/>
  <c r="F41" i="115" s="1"/>
  <c r="G41" i="115" s="1"/>
  <c r="H41" i="115" s="1"/>
  <c r="B42" i="115"/>
  <c r="B126" i="102"/>
  <c r="A36" i="108"/>
  <c r="X13" i="22"/>
  <c r="Y13" i="22"/>
  <c r="B43" i="115" l="1"/>
  <c r="C42" i="115"/>
  <c r="D42" i="115" s="1"/>
  <c r="E42" i="115" s="1"/>
  <c r="F42" i="115" s="1"/>
  <c r="G42" i="115" s="1"/>
  <c r="H42" i="115" s="1"/>
  <c r="B127" i="102"/>
  <c r="A37" i="108"/>
  <c r="X15" i="22"/>
  <c r="Z2" i="22"/>
  <c r="AA2" i="22"/>
  <c r="B44" i="115" l="1"/>
  <c r="C43" i="115"/>
  <c r="D43" i="115" s="1"/>
  <c r="E43" i="115" s="1"/>
  <c r="F43" i="115" s="1"/>
  <c r="G43" i="115" s="1"/>
  <c r="H43" i="115" s="1"/>
  <c r="B128" i="102"/>
  <c r="A38" i="108"/>
  <c r="Z3" i="22"/>
  <c r="AA3" i="22"/>
  <c r="C44" i="115" l="1"/>
  <c r="D44" i="115" s="1"/>
  <c r="E44" i="115" s="1"/>
  <c r="F44" i="115" s="1"/>
  <c r="G44" i="115" s="1"/>
  <c r="H44" i="115" s="1"/>
  <c r="B45" i="115"/>
  <c r="B129" i="102"/>
  <c r="A39" i="108"/>
  <c r="Z4" i="22"/>
  <c r="AA4" i="22"/>
  <c r="B46" i="115" l="1"/>
  <c r="C45" i="115"/>
  <c r="D45" i="115" s="1"/>
  <c r="E45" i="115" s="1"/>
  <c r="F45" i="115" s="1"/>
  <c r="G45" i="115" s="1"/>
  <c r="H45" i="115" s="1"/>
  <c r="B130" i="102"/>
  <c r="A40" i="108"/>
  <c r="Z5" i="22"/>
  <c r="AA5" i="22" s="1"/>
  <c r="C46" i="115" l="1"/>
  <c r="D46" i="115" s="1"/>
  <c r="E46" i="115" s="1"/>
  <c r="F46" i="115" s="1"/>
  <c r="G46" i="115" s="1"/>
  <c r="H46" i="115" s="1"/>
  <c r="B47" i="115"/>
  <c r="B131" i="102"/>
  <c r="A41" i="108"/>
  <c r="Z6" i="22"/>
  <c r="AA6" i="22" s="1"/>
  <c r="C47" i="115" l="1"/>
  <c r="D47" i="115" s="1"/>
  <c r="E47" i="115" s="1"/>
  <c r="F47" i="115" s="1"/>
  <c r="G47" i="115" s="1"/>
  <c r="H47" i="115" s="1"/>
  <c r="B48" i="115"/>
  <c r="B132" i="102"/>
  <c r="A42" i="108"/>
  <c r="Z7" i="22"/>
  <c r="AA7" i="22"/>
  <c r="B49" i="115" l="1"/>
  <c r="C48" i="115"/>
  <c r="D48" i="115" s="1"/>
  <c r="E48" i="115" s="1"/>
  <c r="F48" i="115" s="1"/>
  <c r="G48" i="115" s="1"/>
  <c r="H48" i="115" s="1"/>
  <c r="B133" i="102"/>
  <c r="A43" i="108"/>
  <c r="Z8" i="22"/>
  <c r="AA8" i="22"/>
  <c r="C49" i="115" l="1"/>
  <c r="D49" i="115" s="1"/>
  <c r="E49" i="115" s="1"/>
  <c r="F49" i="115" s="1"/>
  <c r="G49" i="115" s="1"/>
  <c r="H49" i="115" s="1"/>
  <c r="B50" i="115"/>
  <c r="B134" i="102"/>
  <c r="A44" i="108"/>
  <c r="Z9" i="22"/>
  <c r="AA9" i="22"/>
  <c r="B51" i="115" l="1"/>
  <c r="C50" i="115"/>
  <c r="D50" i="115" s="1"/>
  <c r="E50" i="115" s="1"/>
  <c r="F50" i="115" s="1"/>
  <c r="G50" i="115" s="1"/>
  <c r="H50" i="115" s="1"/>
  <c r="B135" i="102"/>
  <c r="A45" i="108"/>
  <c r="Z10" i="22"/>
  <c r="AA10" i="22" s="1"/>
  <c r="C51" i="115" l="1"/>
  <c r="D51" i="115" s="1"/>
  <c r="E51" i="115" s="1"/>
  <c r="F51" i="115" s="1"/>
  <c r="G51" i="115" s="1"/>
  <c r="H51" i="115" s="1"/>
  <c r="B52" i="115"/>
  <c r="B136" i="102"/>
  <c r="A46" i="108"/>
  <c r="Z11" i="22"/>
  <c r="AA11" i="22" s="1"/>
  <c r="B53" i="115" l="1"/>
  <c r="C52" i="115"/>
  <c r="D52" i="115" s="1"/>
  <c r="E52" i="115" s="1"/>
  <c r="F52" i="115" s="1"/>
  <c r="G52" i="115" s="1"/>
  <c r="H52" i="115" s="1"/>
  <c r="B137" i="102"/>
  <c r="A47" i="108"/>
  <c r="Z12" i="22"/>
  <c r="AA12" i="22"/>
  <c r="C53" i="115" l="1"/>
  <c r="D53" i="115" s="1"/>
  <c r="E53" i="115" s="1"/>
  <c r="F53" i="115" s="1"/>
  <c r="G53" i="115" s="1"/>
  <c r="H53" i="115" s="1"/>
  <c r="B54" i="115"/>
  <c r="B138" i="102"/>
  <c r="A48" i="108"/>
  <c r="Z13" i="22"/>
  <c r="AA13" i="22" s="1"/>
  <c r="B55" i="115" l="1"/>
  <c r="C54" i="115"/>
  <c r="D54" i="115" s="1"/>
  <c r="E54" i="115" s="1"/>
  <c r="F54" i="115" s="1"/>
  <c r="G54" i="115" s="1"/>
  <c r="H54" i="115" s="1"/>
  <c r="B139" i="102"/>
  <c r="A49" i="108"/>
  <c r="S15" i="22"/>
  <c r="Z15" i="22"/>
  <c r="AB15" i="22" s="1"/>
  <c r="B56" i="115" l="1"/>
  <c r="C55" i="115"/>
  <c r="D55" i="115" s="1"/>
  <c r="E55" i="115" s="1"/>
  <c r="F55" i="115" s="1"/>
  <c r="G55" i="115" s="1"/>
  <c r="H55" i="115" s="1"/>
  <c r="B140" i="102"/>
  <c r="A50" i="108"/>
  <c r="C56" i="115" l="1"/>
  <c r="D56" i="115" s="1"/>
  <c r="E56" i="115" s="1"/>
  <c r="F56" i="115" s="1"/>
  <c r="G56" i="115" s="1"/>
  <c r="H56" i="115" s="1"/>
  <c r="B57" i="115"/>
  <c r="B141" i="102"/>
  <c r="A51" i="108"/>
  <c r="B58" i="115" l="1"/>
  <c r="C57" i="115"/>
  <c r="D57" i="115" s="1"/>
  <c r="E57" i="115" s="1"/>
  <c r="F57" i="115" s="1"/>
  <c r="G57" i="115" s="1"/>
  <c r="H57" i="115" s="1"/>
  <c r="B142" i="102"/>
  <c r="A52" i="108"/>
  <c r="C58" i="115" l="1"/>
  <c r="D58" i="115" s="1"/>
  <c r="E58" i="115" s="1"/>
  <c r="F58" i="115" s="1"/>
  <c r="G58" i="115" s="1"/>
  <c r="H58" i="115" s="1"/>
  <c r="B59" i="115"/>
  <c r="B143" i="102"/>
  <c r="A53" i="108"/>
  <c r="B60" i="115" l="1"/>
  <c r="C59" i="115"/>
  <c r="D59" i="115" s="1"/>
  <c r="E59" i="115" s="1"/>
  <c r="F59" i="115" s="1"/>
  <c r="G59" i="115" s="1"/>
  <c r="H59" i="115" s="1"/>
  <c r="B144" i="102"/>
  <c r="A54" i="108"/>
  <c r="B61" i="115" l="1"/>
  <c r="C60" i="115"/>
  <c r="D60" i="115" s="1"/>
  <c r="E60" i="115" s="1"/>
  <c r="F60" i="115" s="1"/>
  <c r="G60" i="115" s="1"/>
  <c r="H60" i="115" s="1"/>
  <c r="B145" i="102"/>
  <c r="A55" i="108"/>
  <c r="C61" i="115" l="1"/>
  <c r="D61" i="115" s="1"/>
  <c r="E61" i="115" s="1"/>
  <c r="F61" i="115" s="1"/>
  <c r="G61" i="115" s="1"/>
  <c r="H61" i="115" s="1"/>
  <c r="B62" i="115"/>
  <c r="B146" i="102"/>
  <c r="A56" i="108"/>
  <c r="B63" i="115" l="1"/>
  <c r="C62" i="115"/>
  <c r="D62" i="115" s="1"/>
  <c r="E62" i="115" s="1"/>
  <c r="F62" i="115" s="1"/>
  <c r="G62" i="115" s="1"/>
  <c r="H62" i="115" s="1"/>
  <c r="B147" i="102"/>
  <c r="A57" i="108"/>
  <c r="C63" i="115" l="1"/>
  <c r="D63" i="115" s="1"/>
  <c r="E63" i="115" s="1"/>
  <c r="F63" i="115" s="1"/>
  <c r="G63" i="115" s="1"/>
  <c r="H63" i="115" s="1"/>
  <c r="B64" i="115"/>
  <c r="B148" i="102"/>
  <c r="A58" i="108"/>
  <c r="B65" i="115" l="1"/>
  <c r="C64" i="115"/>
  <c r="D64" i="115" s="1"/>
  <c r="E64" i="115" s="1"/>
  <c r="F64" i="115" s="1"/>
  <c r="G64" i="115" s="1"/>
  <c r="H64" i="115" s="1"/>
  <c r="B149" i="102"/>
  <c r="A59" i="108"/>
  <c r="C65" i="115" l="1"/>
  <c r="D65" i="115" s="1"/>
  <c r="E65" i="115" s="1"/>
  <c r="F65" i="115" s="1"/>
  <c r="G65" i="115" s="1"/>
  <c r="H65" i="115" s="1"/>
  <c r="B66" i="115"/>
  <c r="B150" i="102"/>
  <c r="A60" i="108"/>
  <c r="B67" i="115" l="1"/>
  <c r="C66" i="115"/>
  <c r="D66" i="115" s="1"/>
  <c r="E66" i="115" s="1"/>
  <c r="F66" i="115" s="1"/>
  <c r="G66" i="115" s="1"/>
  <c r="H66" i="115" s="1"/>
  <c r="B151" i="102"/>
  <c r="A61" i="108"/>
  <c r="B68" i="115" l="1"/>
  <c r="C67" i="115"/>
  <c r="D67" i="115" s="1"/>
  <c r="E67" i="115" s="1"/>
  <c r="F67" i="115" s="1"/>
  <c r="G67" i="115" s="1"/>
  <c r="H67" i="115" s="1"/>
  <c r="B152" i="102"/>
  <c r="A62" i="108"/>
  <c r="C68" i="115" l="1"/>
  <c r="D68" i="115" s="1"/>
  <c r="E68" i="115" s="1"/>
  <c r="F68" i="115" s="1"/>
  <c r="G68" i="115" s="1"/>
  <c r="H68" i="115" s="1"/>
  <c r="B69" i="115"/>
  <c r="B153" i="102"/>
  <c r="A63" i="108"/>
  <c r="B70" i="115" l="1"/>
  <c r="C69" i="115"/>
  <c r="D69" i="115" s="1"/>
  <c r="E69" i="115" s="1"/>
  <c r="F69" i="115" s="1"/>
  <c r="G69" i="115" s="1"/>
  <c r="H69" i="115" s="1"/>
  <c r="B154" i="102"/>
  <c r="A64" i="108"/>
  <c r="C70" i="115" l="1"/>
  <c r="D70" i="115" s="1"/>
  <c r="E70" i="115" s="1"/>
  <c r="F70" i="115" s="1"/>
  <c r="G70" i="115" s="1"/>
  <c r="H70" i="115" s="1"/>
  <c r="B71" i="115"/>
  <c r="C71" i="115" s="1"/>
  <c r="D71" i="115" s="1"/>
  <c r="E71" i="115" s="1"/>
  <c r="F71" i="115" s="1"/>
  <c r="G71" i="115" s="1"/>
  <c r="H71" i="115" s="1"/>
  <c r="B155" i="102"/>
  <c r="A65" i="108"/>
  <c r="B156" i="102" l="1"/>
  <c r="A66" i="108"/>
  <c r="B157" i="102" l="1"/>
  <c r="A67" i="108"/>
  <c r="A68" i="108" l="1"/>
  <c r="B158" i="102"/>
  <c r="B159" i="102" l="1"/>
  <c r="A69" i="108"/>
  <c r="B160" i="102" l="1"/>
  <c r="A70" i="108"/>
  <c r="B161" i="102" l="1"/>
  <c r="A71" i="108"/>
  <c r="B162" i="102" l="1"/>
  <c r="A72" i="108"/>
  <c r="B163" i="102" l="1"/>
  <c r="A73" i="108"/>
  <c r="B164" i="102" l="1"/>
  <c r="A74" i="108"/>
  <c r="B165" i="102" l="1"/>
  <c r="A75" i="108"/>
  <c r="B166" i="102" l="1"/>
  <c r="A76" i="108"/>
  <c r="B167" i="102" l="1"/>
  <c r="A77" i="108"/>
  <c r="B168" i="102" l="1"/>
  <c r="A78" i="108"/>
  <c r="B169" i="102" l="1"/>
  <c r="A79" i="108"/>
  <c r="B170" i="102" l="1"/>
  <c r="A80" i="108"/>
  <c r="B171" i="102" l="1"/>
  <c r="A81" i="108"/>
  <c r="B172" i="102" l="1"/>
  <c r="A82" i="108"/>
  <c r="B173" i="102" l="1"/>
  <c r="A83" i="108"/>
  <c r="A84" i="108" l="1"/>
  <c r="B174" i="102"/>
  <c r="B175" i="102" s="1"/>
  <c r="B176" i="102" s="1"/>
  <c r="B177" i="102" s="1"/>
  <c r="B178" i="102" s="1"/>
  <c r="B179" i="102" s="1"/>
  <c r="B180" i="102" s="1"/>
  <c r="B181" i="102" s="1"/>
  <c r="B182" i="102" s="1"/>
  <c r="B183" i="102" s="1"/>
  <c r="B184" i="102" s="1"/>
  <c r="B185" i="102" s="1"/>
  <c r="B186" i="102" s="1"/>
  <c r="B187" i="102" s="1"/>
  <c r="B188" i="102" s="1"/>
  <c r="B189" i="102" s="1"/>
  <c r="B190" i="102" s="1"/>
  <c r="B191" i="102" s="1"/>
  <c r="B192" i="102" s="1"/>
  <c r="B193" i="102" s="1"/>
  <c r="B194" i="102" s="1"/>
  <c r="B195" i="102" s="1"/>
  <c r="B196" i="102" s="1"/>
  <c r="B197" i="102" s="1"/>
  <c r="B198" i="102" s="1"/>
  <c r="B199" i="102" s="1"/>
  <c r="B200" i="102" s="1"/>
  <c r="B201" i="102" s="1"/>
  <c r="B202" i="102" s="1"/>
  <c r="B203" i="102" s="1"/>
  <c r="B204" i="102" s="1"/>
  <c r="B205" i="102" s="1"/>
  <c r="B206" i="102" s="1"/>
  <c r="B207" i="102" s="1"/>
  <c r="B208" i="102" s="1"/>
  <c r="B209" i="102" s="1"/>
  <c r="B210" i="102" s="1"/>
  <c r="B211" i="102" s="1"/>
  <c r="B212" i="102" s="1"/>
  <c r="B213" i="102" s="1"/>
  <c r="B214" i="102" s="1"/>
  <c r="B215" i="102" s="1"/>
  <c r="B216" i="102" s="1"/>
  <c r="B217" i="102" s="1"/>
  <c r="B218" i="102" s="1"/>
  <c r="B219" i="102" s="1"/>
  <c r="B220" i="102" s="1"/>
  <c r="B221" i="102" s="1"/>
  <c r="B222" i="102" s="1"/>
  <c r="B223" i="102" s="1"/>
  <c r="B224" i="102" s="1"/>
  <c r="B225" i="102" s="1"/>
  <c r="B226" i="102" s="1"/>
  <c r="B227" i="102" s="1"/>
  <c r="B228" i="102" s="1"/>
  <c r="B229" i="102" s="1"/>
  <c r="B230" i="102" s="1"/>
  <c r="B231" i="102" s="1"/>
  <c r="B232" i="102" s="1"/>
  <c r="B233" i="102" s="1"/>
  <c r="B234" i="102" s="1"/>
  <c r="B235" i="102" s="1"/>
  <c r="B236" i="102" s="1"/>
  <c r="B237" i="102" s="1"/>
  <c r="B238" i="102" s="1"/>
  <c r="B239" i="102" s="1"/>
  <c r="B240" i="102" s="1"/>
  <c r="B241" i="102" s="1"/>
  <c r="B242" i="102" s="1"/>
  <c r="B243" i="102" s="1"/>
  <c r="B244" i="102" s="1"/>
  <c r="B245" i="102" s="1"/>
  <c r="B246" i="102" s="1"/>
  <c r="B247" i="102" s="1"/>
  <c r="B248" i="102" s="1"/>
  <c r="B249" i="102" s="1"/>
  <c r="B250" i="102" s="1"/>
  <c r="B251" i="102" s="1"/>
  <c r="B252" i="102" s="1"/>
  <c r="B253" i="102" s="1"/>
  <c r="B254" i="102" s="1"/>
  <c r="B255" i="102" s="1"/>
  <c r="B256" i="102" s="1"/>
  <c r="B257" i="102" s="1"/>
  <c r="B258" i="102" s="1"/>
  <c r="B259" i="102" s="1"/>
  <c r="B260" i="102" s="1"/>
  <c r="B261" i="102" s="1"/>
  <c r="B262" i="102" s="1"/>
  <c r="B263" i="102" s="1"/>
  <c r="B264" i="102" s="1"/>
  <c r="B265" i="102" s="1"/>
  <c r="B266" i="102" s="1"/>
  <c r="B267" i="102" s="1"/>
  <c r="B268" i="102" s="1"/>
  <c r="B269" i="102" s="1"/>
  <c r="B270" i="102" s="1"/>
  <c r="B271" i="102" s="1"/>
  <c r="B272" i="102" s="1"/>
  <c r="B273" i="102" s="1"/>
  <c r="B274" i="102" s="1"/>
  <c r="B275" i="102" s="1"/>
  <c r="B276" i="102" s="1"/>
  <c r="B277" i="102" s="1"/>
  <c r="B278" i="102" s="1"/>
  <c r="B279" i="102" s="1"/>
  <c r="B280" i="102" s="1"/>
  <c r="B281" i="102" s="1"/>
  <c r="B282" i="102" s="1"/>
  <c r="B283" i="102" s="1"/>
  <c r="B284" i="102" s="1"/>
  <c r="B285" i="102" s="1"/>
  <c r="B286" i="102" s="1"/>
  <c r="B287" i="10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Zheng, Zhuolin</author>
  </authors>
  <commentList>
    <comment ref="S1" authorId="0" shapeId="0" xr:uid="{00000000-0006-0000-0000-000001000000}">
      <text>
        <r>
          <rPr>
            <b/>
            <sz val="9"/>
            <color indexed="81"/>
            <rFont val="Tahoma"/>
            <family val="2"/>
          </rPr>
          <t>Zheng, Zhuolin:</t>
        </r>
        <r>
          <rPr>
            <sz val="9"/>
            <color indexed="81"/>
            <rFont val="Tahoma"/>
            <family val="2"/>
          </rPr>
          <t xml:space="preserve">
9% base; interest 0.25% monthly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tc={D3EABFDA-E848-44D3-AEFC-5F7835E06DC5}</author>
    <author>tc={FBC5EE47-8DBD-4C6A-906C-528AE149132C}</author>
    <author>tc={A7786A0C-EAC4-4894-9516-E09689A7DD11}</author>
    <author>tc={89DCAAE9-74EE-4668-85A0-8D90D8FF6AD2}</author>
    <author>tc={33E621C8-608A-41CA-81DA-AA42C3B28E68}</author>
    <author>tc={250A0796-3A80-4342-B025-A8FAC051CAC4}</author>
    <author>tc={E1DF5694-3E37-4BC6-80A1-9056A97FFF72}</author>
    <author>tc={1D439781-724F-4354-AC67-5EE76DB56176}</author>
    <author>tc={88264D80-3216-4C99-AD7F-D681754030AB}</author>
    <author>tc={EAD7EFF4-4FAD-4F57-AAB3-4E929254D11C}</author>
    <author>tc={FCB2042E-3CDD-46E7-834B-B08DC32BC72D}</author>
    <author>tc={81444F43-E27F-489E-9657-A207296F173C}</author>
    <author>tc={8065810A-B5D9-416B-8FCE-17C4983F412A}</author>
    <author>tc={B502058B-D09A-4F62-96C8-155A7953626F}</author>
    <author>tc={DF2895A0-6AFA-4AE4-A59C-BF89BBAAB346}</author>
    <author>tc={85C48969-DB3F-4B62-8B39-87021E5BCF8E}</author>
    <author>tc={95384741-AFA0-4E29-8D7A-A1EFE56BD505}</author>
    <author>tc={3F3C1DB5-0BA7-4C5A-A1C9-25EDC22BF39D}</author>
    <author>tc={37EC5BD5-3CE0-4D7F-954C-958BB5505F56}</author>
    <author>tc={3DB90DF3-C731-4615-BEDE-50CD25025A1F}</author>
    <author>tc={7A57C396-C196-44ED-9718-70C166E22355}</author>
    <author>tc={FD1E55A3-2C7E-4A28-84E0-DAC1616F3F94}</author>
    <author>tc={F6AAB93A-39F1-47BD-94A3-28F447F950DC}</author>
    <author>tc={E44BF194-1ADC-4336-9160-5B2647CA345A}</author>
    <author>tc={7D07C540-138D-46B6-87DE-29F413F904C7}</author>
    <author>tc={1CBF989C-8655-4C98-8E60-D222CF8083BE}</author>
    <author>tc={D26242A8-5417-4422-8C76-166B2019FF19}</author>
    <author>tc={24505BBF-5DA0-443F-89EC-3C45F77BA529}</author>
    <author>tc={9A3E8128-B54F-44E5-B1C0-120AB61040EE}</author>
    <author>tc={BD643C27-D80F-4221-8C16-584CC7D0E3C2}</author>
    <author>tc={77004027-9DEC-440C-B7A8-60D8A00F3FDE}</author>
    <author>tc={9B299096-F6FF-4447-8008-FA0D76224A6D}</author>
    <author>tc={8BA6FD50-5B53-4FFC-A481-0286AF0AC1FF}</author>
    <author>tc={B52C8ADA-EA62-4B98-972F-9DFD86B20E1C}</author>
    <author>tc={B0009B29-89AE-4082-8E7F-555F4BDDFDF7}</author>
    <author>tc={07F3CB37-D02F-4636-9908-1F92135C2764}</author>
  </authors>
  <commentList>
    <comment ref="B16" authorId="0" shapeId="0" xr:uid="{D3EABFDA-E848-44D3-AEFC-5F7835E06DC5}">
      <text>
        <t>[Threaded comment]
Your version of Excel allows you to read this threaded comment; however, any edits to it will get removed if the file is opened in a newer version of Excel. Learn more: https://go.microsoft.com/fwlink/?linkid=870924
Comment:
    bath</t>
      </text>
    </comment>
    <comment ref="C16" authorId="1" shapeId="0" xr:uid="{FBC5EE47-8DBD-4C6A-906C-528AE149132C}">
      <text>
        <t>[Threaded comment]
Your version of Excel allows you to read this threaded comment; however, any edits to it will get removed if the file is opened in a newer version of Excel. Learn more: https://go.microsoft.com/fwlink/?linkid=870924
Comment:
    bath</t>
      </text>
    </comment>
    <comment ref="G16" authorId="2" shapeId="0" xr:uid="{A7786A0C-EAC4-4894-9516-E09689A7DD11}">
      <text>
        <t>[Threaded comment]
Your version of Excel allows you to read this threaded comment; however, any edits to it will get removed if the file is opened in a newer version of Excel. Learn more: https://go.microsoft.com/fwlink/?linkid=870924
Comment:
    back to London..</t>
      </text>
    </comment>
    <comment ref="F22" authorId="3" shapeId="0" xr:uid="{89DCAAE9-74EE-4668-85A0-8D90D8FF6AD2}">
      <text>
        <t>[Threaded comment]
Your version of Excel allows you to read this threaded comment; however, any edits to it will get removed if the file is opened in a newer version of Excel. Learn more: https://go.microsoft.com/fwlink/?linkid=870924
Comment:
    Peppa Pig &amp; Southampton</t>
      </text>
    </comment>
    <comment ref="E44" authorId="4" shapeId="0" xr:uid="{33E621C8-608A-41CA-81DA-AA42C3B28E68}">
      <text>
        <t>[Threaded comment]
Your version of Excel allows you to read this threaded comment; however, any edits to it will get removed if the file is opened in a newer version of Excel. Learn more: https://go.microsoft.com/fwlink/?linkid=870924
Comment:
    DPP birthday</t>
      </text>
    </comment>
    <comment ref="G110" authorId="5" shapeId="0" xr:uid="{250A0796-3A80-4342-B025-A8FAC051CAC4}">
      <text>
        <t>[Threaded comment]
Your version of Excel allows you to read this threaded comment; however, any edits to it will get removed if the file is opened in a newer version of Excel. Learn more: https://go.microsoft.com/fwlink/?linkid=870924
Comment:
    16.00</t>
      </text>
    </comment>
    <comment ref="B113" authorId="6" shapeId="0" xr:uid="{E1DF5694-3E37-4BC6-80A1-9056A97FFF72}">
      <text>
        <t>[Threaded comment]
Your version of Excel allows you to read this threaded comment; however, any edits to it will get removed if the file is opened in a newer version of Excel. Learn more: https://go.microsoft.com/fwlink/?linkid=870924
Comment:
    Riyan Birthday
Reply:
    Harrods Pics</t>
      </text>
    </comment>
    <comment ref="B118" authorId="7" shapeId="0" xr:uid="{1D439781-724F-4354-AC67-5EE76DB56176}">
      <text>
        <t>[Threaded comment]
Your version of Excel allows you to read this threaded comment; however, any edits to it will get removed if the file is opened in a newer version of Excel. Learn more: https://go.microsoft.com/fwlink/?linkid=870924
Comment:
    Flight 17.15</t>
      </text>
    </comment>
    <comment ref="B119" authorId="8" shapeId="0" xr:uid="{88264D80-3216-4C99-AD7F-D681754030AB}">
      <text>
        <t>[Threaded comment]
Your version of Excel allows you to read this threaded comment; however, any edits to it will get removed if the file is opened in a newer version of Excel. Learn more: https://go.microsoft.com/fwlink/?linkid=870924
Comment:
    Teddy Tennis Ends</t>
      </text>
    </comment>
    <comment ref="B121" authorId="9" shapeId="0" xr:uid="{EAD7EFF4-4FAD-4F57-AAB3-4E929254D11C}">
      <text>
        <t>[Threaded comment]
Your version of Excel allows you to read this threaded comment; however, any edits to it will get removed if the file is opened in a newer version of Excel. Learn more: https://go.microsoft.com/fwlink/?linkid=870924
Comment:
    Kew Garden</t>
      </text>
    </comment>
    <comment ref="B122" authorId="10" shapeId="0" xr:uid="{FCB2042E-3CDD-46E7-834B-B08DC32BC72D}">
      <text>
        <t>[Threaded comment]
Your version of Excel allows you to read this threaded comment; however, any edits to it will get removed if the file is opened in a newer version of Excel. Learn more: https://go.microsoft.com/fwlink/?linkid=870924
Comment:
    London Marathon</t>
      </text>
    </comment>
    <comment ref="B126" authorId="11" shapeId="0" xr:uid="{81444F43-E27F-489E-9657-A207296F173C}">
      <text>
        <t>[Threaded comment]
Your version of Excel allows you to read this threaded comment; however, any edits to it will get removed if the file is opened in a newer version of Excel. Learn more: https://go.microsoft.com/fwlink/?linkid=870924
Comment:
    BIRTHDAY PARTY!!!</t>
      </text>
    </comment>
    <comment ref="B128" authorId="12" shapeId="0" xr:uid="{8065810A-B5D9-416B-8FCE-17C4983F412A}">
      <text>
        <t>[Threaded comment]
Your version of Excel allows you to read this threaded comment; however, any edits to it will get removed if the file is opened in a newer version of Excel. Learn more: https://go.microsoft.com/fwlink/?linkid=870924
Comment:
    fly</t>
      </text>
    </comment>
    <comment ref="F130" authorId="13" shapeId="0" xr:uid="{B502058B-D09A-4F62-96C8-155A7953626F}">
      <text>
        <t>[Threaded comment]
Your version of Excel allows you to read this threaded comment; however, any edits to it will get removed if the file is opened in a newer version of Excel. Learn more: https://go.microsoft.com/fwlink/?linkid=870924
Comment:
    PH welcome afternoon</t>
      </text>
    </comment>
    <comment ref="B134" authorId="14" shapeId="0" xr:uid="{DF2895A0-6AFA-4AE4-A59C-BF89BBAAB346}">
      <text>
        <t>[Threaded comment]
Your version of Excel allows you to read this threaded comment; however, any edits to it will get removed if the file is opened in a newer version of Excel. Learn more: https://go.microsoft.com/fwlink/?linkid=870924
Comment:
    Driving test
Reply:
    PASSED!</t>
      </text>
    </comment>
    <comment ref="H136" authorId="15" shapeId="0" xr:uid="{85C48969-DB3F-4B62-8B39-87021E5BCF8E}">
      <text>
        <t>[Threaded comment]
Your version of Excel allows you to read this threaded comment; however, any edits to it will get removed if the file is opened in a newer version of Excel. Learn more: https://go.microsoft.com/fwlink/?linkid=870924
Comment:
    For Friday - Olympic Games</t>
      </text>
    </comment>
    <comment ref="E145" authorId="16" shapeId="0" xr:uid="{95384741-AFA0-4E29-8D7A-A1EFE56BD505}">
      <text>
        <t>[Threaded comment]
Your version of Excel allows you to read this threaded comment; however, any edits to it will get removed if the file is opened in a newer version of Excel. Learn more: https://go.microsoft.com/fwlink/?linkid=870924
Comment:
    Flu jab</t>
      </text>
    </comment>
    <comment ref="B147" authorId="17" shapeId="0" xr:uid="{3F3C1DB5-0BA7-4C5A-A1C9-25EDC22BF39D}">
      <text>
        <t>[Threaded comment]
Your version of Excel allows you to read this threaded comment; however, any edits to it will get removed if the file is opened in a newer version of Excel. Learn more: https://go.microsoft.com/fwlink/?linkid=870924
Comment:
    Royal Half</t>
      </text>
    </comment>
    <comment ref="E151" authorId="18" shapeId="0" xr:uid="{37EC5BD5-3CE0-4D7F-954C-958BB5505F56}">
      <text>
        <t>[Threaded comment]
Your version of Excel allows you to read this threaded comment; however, any edits to it will get removed if the file is opened in a newer version of Excel. Learn more: https://go.microsoft.com/fwlink/?linkid=870924
Comment:
    dentist</t>
      </text>
    </comment>
    <comment ref="G154" authorId="19" shapeId="0" xr:uid="{3DB90DF3-C731-4615-BEDE-50CD25025A1F}">
      <text>
        <t>[Threaded comment]
Your version of Excel allows you to read this threaded comment; however, any edits to it will get removed if the file is opened in a newer version of Excel. Learn more: https://go.microsoft.com/fwlink/?linkid=870924
Comment:
    Nativity Show
Paint 500-600pm</t>
      </text>
    </comment>
    <comment ref="F156" authorId="20" shapeId="0" xr:uid="{7A57C396-C196-44ED-9718-70C166E22355}">
      <text>
        <t>[Threaded comment]
Your version of Excel allows you to read this threaded comment; however, any edits to it will get removed if the file is opened in a newer version of Excel. Learn more: https://go.microsoft.com/fwlink/?linkid=870924
Comment:
    Strength4</t>
      </text>
    </comment>
    <comment ref="B157" authorId="21" shapeId="0" xr:uid="{FD1E55A3-2C7E-4A28-84E0-DAC1616F3F94}">
      <text>
        <t>[Threaded comment]
Your version of Excel allows you to read this threaded comment; however, any edits to it will get removed if the file is opened in a newer version of Excel. Learn more: https://go.microsoft.com/fwlink/?linkid=870924
Comment:
    Pilates5+2h creche</t>
      </text>
    </comment>
    <comment ref="B159" authorId="22" shapeId="0" xr:uid="{F6AAB93A-39F1-47BD-94A3-28F447F950DC}">
      <text>
        <t>[Threaded comment]
Your version of Excel allows you to read this threaded comment; however, any edits to it will get removed if the file is opened in a newer version of Excel. Learn more: https://go.microsoft.com/fwlink/?linkid=870924
Comment:
    Piano Trial1</t>
      </text>
    </comment>
    <comment ref="B160" authorId="23" shapeId="0" xr:uid="{E44BF194-1ADC-4336-9160-5B2647CA345A}">
      <text>
        <t>[Threaded comment]
Your version of Excel allows you to read this threaded comment; however, any edits to it will get removed if the file is opened in a newer version of Excel. Learn more: https://go.microsoft.com/fwlink/?linkid=870924
Comment:
    Piano trial2</t>
      </text>
    </comment>
    <comment ref="B169" authorId="24" shapeId="0" xr:uid="{7D07C540-138D-46B6-87DE-29F413F904C7}">
      <text>
        <t>[Threaded comment]
Your version of Excel allows you to read this threaded comment; however, any edits to it will get removed if the file is opened in a newer version of Excel. Learn more: https://go.microsoft.com/fwlink/?linkid=870924
Comment:
    Swimming backward</t>
      </text>
    </comment>
    <comment ref="C170" authorId="25" shapeId="0" xr:uid="{1CBF989C-8655-4C98-8E60-D222CF8083BE}">
      <text>
        <t>[Threaded comment]
Your version of Excel allows you to read this threaded comment; however, any edits to it will get removed if the file is opened in a newer version of Excel. Learn more: https://go.microsoft.com/fwlink/?linkid=870924
Comment:
    Fetal Scan @ 10.15</t>
      </text>
    </comment>
    <comment ref="G170" authorId="26" shapeId="0" xr:uid="{D26242A8-5417-4422-8C76-166B2019FF19}">
      <text>
        <t>[Threaded comment]
Your version of Excel allows you to read this threaded comment; however, any edits to it will get removed if the file is opened in a newer version of Excel. Learn more: https://go.microsoft.com/fwlink/?linkid=870924
Comment:
    Girls depart from 12.00 pm</t>
      </text>
    </comment>
    <comment ref="G171" authorId="27" shapeId="0" xr:uid="{24505BBF-5DA0-443F-89EC-3C45F77BA529}">
      <text>
        <t>[Threaded comment]
Your version of Excel allows you to read this threaded comment; however, any edits to it will get removed if the file is opened in a newer version of Excel. Learn more: https://go.microsoft.com/fwlink/?linkid=870924
Comment:
    Piano 5.00pm</t>
      </text>
    </comment>
    <comment ref="B173" authorId="28" shapeId="0" xr:uid="{9A3E8128-B54F-44E5-B1C0-120AB61040EE}">
      <text>
        <t>[Threaded comment]
Your version of Excel allows you to read this threaded comment; however, any edits to it will get removed if the file is opened in a newer version of Excel. Learn more: https://go.microsoft.com/fwlink/?linkid=870924
Comment:
    Tennis 2/谷晶来伦敦</t>
      </text>
    </comment>
    <comment ref="B174" authorId="29" shapeId="0" xr:uid="{BD643C27-D80F-4221-8C16-584CC7D0E3C2}">
      <text>
        <t>[Threaded comment]
Your version of Excel allows you to read this threaded comment; however, any edits to it will get removed if the file is opened in a newer version of Excel. Learn more: https://go.microsoft.com/fwlink/?linkid=870924
Comment:
    Tennis 4</t>
      </text>
    </comment>
    <comment ref="B175" authorId="30" shapeId="0" xr:uid="{77004027-9DEC-440C-B7A8-60D8A00F3FDE}">
      <text>
        <t>[Threaded comment]
Your version of Excel allows you to read this threaded comment; however, any edits to it will get removed if the file is opened in a newer version of Excel. Learn more: https://go.microsoft.com/fwlink/?linkid=870924
Comment:
    Swan Lake</t>
      </text>
    </comment>
    <comment ref="B176" authorId="31" shapeId="0" xr:uid="{9B299096-F6FF-4447-8008-FA0D76224A6D}">
      <text>
        <t>[Threaded comment]
Your version of Excel allows you to read this threaded comment; however, any edits to it will get removed if the file is opened in a newer version of Excel. Learn more: https://go.microsoft.com/fwlink/?linkid=870924
Comment:
    Tennis 5</t>
      </text>
    </comment>
    <comment ref="B178" authorId="32" shapeId="0" xr:uid="{8BA6FD50-5B53-4FFC-A481-0286AF0AC1FF}">
      <text>
        <t>[Threaded comment]
Your version of Excel allows you to read this threaded comment; however, any edits to it will get removed if the file is opened in a newer version of Excel. Learn more: https://go.microsoft.com/fwlink/?linkid=870924
Comment:
    Tennis 6</t>
      </text>
    </comment>
    <comment ref="C183" authorId="33" shapeId="0" xr:uid="{B52C8ADA-EA62-4B98-972F-9DFD86B20E1C}">
      <text>
        <t>[Threaded comment]
Your version of Excel allows you to read this threaded comment; however, any edits to it will get removed if the file is opened in a newer version of Excel. Learn more: https://go.microsoft.com/fwlink/?linkid=870924
Comment:
    Planning Week</t>
      </text>
    </comment>
    <comment ref="F185" authorId="34" shapeId="0" xr:uid="{B0009B29-89AE-4082-8E7F-555F4BDDFDF7}">
      <text>
        <t>[Threaded comment]
Your version of Excel allows you to read this threaded comment; however, any edits to it will get removed if the file is opened in a newer version of Excel. Learn more: https://go.microsoft.com/fwlink/?linkid=870924
Comment:
    Girls depart from 12.00</t>
      </text>
    </comment>
    <comment ref="B193" authorId="35" shapeId="0" xr:uid="{07F3CB37-D02F-4636-9908-1F92135C2764}">
      <text>
        <t>[Threaded comment]
Your version of Excel allows you to read this threaded comment; however, any edits to it will get removed if the file is opened in a newer version of Excel. Learn more: https://go.microsoft.com/fwlink/?linkid=870924
Comment:
    Mum flies to UK</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tc={33254EAB-523B-445B-B28A-8A6F60A2341B}</author>
  </authors>
  <commentList>
    <comment ref="E31" authorId="0" shapeId="0" xr:uid="{33254EAB-523B-445B-B28A-8A6F60A2341B}">
      <text>
        <t>[Threaded comment]
Your version of Excel allows you to read this threaded comment; however, any edits to it will get removed if the file is opened in a newer version of Excel. Learn more: https://go.microsoft.com/fwlink/?linkid=870924
Comment:
    birthday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tc={AC367036-C4A2-4E60-8CB1-37D89F03D4F0}</author>
    <author>tc={CFD49B4F-33CB-47C6-9E01-EE6019ACAA20}</author>
  </authors>
  <commentList>
    <comment ref="A4" authorId="0" shapeId="0" xr:uid="{AC367036-C4A2-4E60-8CB1-37D89F03D4F0}">
      <text>
        <t>[Threaded comment]
Your version of Excel allows you to read this threaded comment; however, any edits to it will get removed if the file is opened in a newer version of Excel. Learn more: https://go.microsoft.com/fwlink/?linkid=870924
Comment:
    Halifax 116469 01374861</t>
      </text>
    </comment>
    <comment ref="B4" authorId="1" shapeId="0" xr:uid="{CFD49B4F-33CB-47C6-9E01-EE6019ACAA20}">
      <text>
        <t>[Threaded comment]
Your version of Excel allows you to read this threaded comment; however, any edits to it will get removed if the file is opened in a newer version of Excel. Learn more: https://go.microsoft.com/fwlink/?linkid=870924
Comment:
    In Halifax, try to move to Nutmeg</t>
      </text>
    </comment>
  </commentList>
</comments>
</file>

<file path=xl/sharedStrings.xml><?xml version="1.0" encoding="utf-8"?>
<sst xmlns="http://schemas.openxmlformats.org/spreadsheetml/2006/main" count="1955" uniqueCount="1232">
  <si>
    <t>base</t>
    <phoneticPr fontId="5" type="noConversion"/>
  </si>
  <si>
    <t>1st</t>
    <phoneticPr fontId="5" type="noConversion"/>
  </si>
  <si>
    <t>2st</t>
    <phoneticPr fontId="5" type="noConversion"/>
  </si>
  <si>
    <t>3rd</t>
    <phoneticPr fontId="5" type="noConversion"/>
  </si>
  <si>
    <t>4th</t>
    <phoneticPr fontId="5" type="noConversion"/>
  </si>
  <si>
    <t>med</t>
    <phoneticPr fontId="5" type="noConversion"/>
  </si>
  <si>
    <t>house</t>
    <phoneticPr fontId="5" type="noConversion"/>
  </si>
  <si>
    <t>annual</t>
    <phoneticPr fontId="5" type="noConversion"/>
  </si>
  <si>
    <t>final</t>
    <phoneticPr fontId="5" type="noConversion"/>
  </si>
  <si>
    <t>Mar</t>
    <phoneticPr fontId="5" type="noConversion"/>
  </si>
  <si>
    <t>Apr</t>
    <phoneticPr fontId="5" type="noConversion"/>
  </si>
  <si>
    <t>May</t>
    <phoneticPr fontId="5" type="noConversion"/>
  </si>
  <si>
    <t>Jun</t>
    <phoneticPr fontId="5" type="noConversion"/>
  </si>
  <si>
    <t>Jul</t>
    <phoneticPr fontId="5" type="noConversion"/>
  </si>
  <si>
    <t>Aug</t>
    <phoneticPr fontId="5" type="noConversion"/>
  </si>
  <si>
    <t>Sep</t>
    <phoneticPr fontId="5" type="noConversion"/>
  </si>
  <si>
    <t>Oct</t>
    <phoneticPr fontId="5" type="noConversion"/>
  </si>
  <si>
    <t>Nov</t>
    <phoneticPr fontId="5" type="noConversion"/>
  </si>
  <si>
    <t>Dec</t>
    <phoneticPr fontId="5" type="noConversion"/>
  </si>
  <si>
    <t>Jan</t>
    <phoneticPr fontId="5" type="noConversion"/>
  </si>
  <si>
    <t>Feb</t>
    <phoneticPr fontId="5" type="noConversion"/>
  </si>
  <si>
    <t>Bonus</t>
    <phoneticPr fontId="5" type="noConversion"/>
  </si>
  <si>
    <t>yearly income</t>
    <phoneticPr fontId="5" type="noConversion"/>
  </si>
  <si>
    <t>Sum</t>
    <phoneticPr fontId="5" type="noConversion"/>
  </si>
  <si>
    <t>breakfast</t>
    <phoneticPr fontId="5" type="noConversion"/>
  </si>
  <si>
    <t>lunch</t>
    <phoneticPr fontId="5" type="noConversion"/>
  </si>
  <si>
    <t>supper</t>
    <phoneticPr fontId="5" type="noConversion"/>
  </si>
  <si>
    <t>饮料</t>
    <phoneticPr fontId="5" type="noConversion"/>
  </si>
  <si>
    <t>date</t>
    <phoneticPr fontId="5" type="noConversion"/>
  </si>
  <si>
    <t>黑咖啡</t>
    <phoneticPr fontId="5" type="noConversion"/>
  </si>
  <si>
    <t>煮鸡蛋+生番茄+菠菜</t>
    <phoneticPr fontId="5" type="noConversion"/>
  </si>
  <si>
    <t>牛排+生菜</t>
    <phoneticPr fontId="5" type="noConversion"/>
  </si>
  <si>
    <t>柠檬水</t>
    <phoneticPr fontId="5" type="noConversion"/>
  </si>
  <si>
    <t>Sun</t>
    <phoneticPr fontId="5" type="noConversion"/>
  </si>
  <si>
    <t>低脂火腿+脱脂酸奶</t>
    <phoneticPr fontId="5" type="noConversion"/>
  </si>
  <si>
    <t>Mon</t>
    <phoneticPr fontId="5" type="noConversion"/>
  </si>
  <si>
    <t>黑咖啡+吐司</t>
    <phoneticPr fontId="5" type="noConversion"/>
  </si>
  <si>
    <t>鸡蛋+低脂火腿+生菜</t>
    <phoneticPr fontId="5" type="noConversion"/>
  </si>
  <si>
    <t>芹菜+番茄+苹果</t>
    <phoneticPr fontId="5" type="noConversion"/>
  </si>
  <si>
    <t>Tue</t>
    <phoneticPr fontId="5" type="noConversion"/>
  </si>
  <si>
    <t>橙汁+脱脂酸奶</t>
    <phoneticPr fontId="5" type="noConversion"/>
  </si>
  <si>
    <t>鸡蛋+胡萝卜+低脂奶酪</t>
    <phoneticPr fontId="5" type="noConversion"/>
  </si>
  <si>
    <t>Wed</t>
    <phoneticPr fontId="5" type="noConversion"/>
  </si>
  <si>
    <t>胡萝卜</t>
    <phoneticPr fontId="5" type="noConversion"/>
  </si>
  <si>
    <t>鳕鱼</t>
    <phoneticPr fontId="5" type="noConversion"/>
  </si>
  <si>
    <t>牛排+生菜+芹菜</t>
    <phoneticPr fontId="5" type="noConversion"/>
  </si>
  <si>
    <t>Thu</t>
    <phoneticPr fontId="5" type="noConversion"/>
  </si>
  <si>
    <t>鸡蛋+胡萝卜</t>
    <phoneticPr fontId="5" type="noConversion"/>
  </si>
  <si>
    <t>鸡肉+生菜</t>
    <phoneticPr fontId="5" type="noConversion"/>
  </si>
  <si>
    <t>Fri</t>
    <phoneticPr fontId="5" type="noConversion"/>
  </si>
  <si>
    <t>茶</t>
    <phoneticPr fontId="5" type="noConversion"/>
  </si>
  <si>
    <t>水</t>
    <phoneticPr fontId="5" type="noConversion"/>
  </si>
  <si>
    <t>羊肉+苹果</t>
    <phoneticPr fontId="5" type="noConversion"/>
  </si>
  <si>
    <t>Sat</t>
    <phoneticPr fontId="5" type="noConversion"/>
  </si>
  <si>
    <t>optional</t>
    <phoneticPr fontId="5" type="noConversion"/>
  </si>
  <si>
    <t>prices</t>
    <phoneticPr fontId="5" type="noConversion"/>
  </si>
  <si>
    <t>哺乳文胸</t>
    <phoneticPr fontId="5" type="noConversion"/>
  </si>
  <si>
    <t>bravado</t>
    <phoneticPr fontId="5" type="noConversion"/>
  </si>
  <si>
    <t>已备</t>
    <phoneticPr fontId="5" type="noConversion"/>
  </si>
  <si>
    <t>抚痕身体乳</t>
    <phoneticPr fontId="5" type="noConversion"/>
  </si>
  <si>
    <t>clarins</t>
    <phoneticPr fontId="5" type="noConversion"/>
  </si>
  <si>
    <t>待备</t>
    <phoneticPr fontId="5" type="noConversion"/>
  </si>
  <si>
    <t>卫生巾</t>
    <phoneticPr fontId="5" type="noConversion"/>
  </si>
  <si>
    <t>cosmo卫生巾</t>
    <phoneticPr fontId="5" type="noConversion"/>
  </si>
  <si>
    <t>待产包</t>
    <phoneticPr fontId="5" type="noConversion"/>
  </si>
  <si>
    <t>一次性内裤</t>
    <phoneticPr fontId="5" type="noConversion"/>
  </si>
  <si>
    <t>开丽</t>
    <phoneticPr fontId="5" type="noConversion"/>
  </si>
  <si>
    <t>不太必要</t>
    <phoneticPr fontId="5" type="noConversion"/>
  </si>
  <si>
    <t>产褥卫生纸/护理垫</t>
    <phoneticPr fontId="5" type="noConversion"/>
  </si>
  <si>
    <t>双灯; 开丽贝亲十月妈咪</t>
    <phoneticPr fontId="5" type="noConversion"/>
  </si>
  <si>
    <t>月子鞋</t>
    <phoneticPr fontId="5" type="noConversion"/>
  </si>
  <si>
    <t>北京布鞋</t>
    <phoneticPr fontId="5" type="noConversion"/>
  </si>
  <si>
    <t>喂奶衣</t>
    <phoneticPr fontId="5" type="noConversion"/>
  </si>
  <si>
    <t>乔尼雅</t>
    <phoneticPr fontId="5" type="noConversion"/>
  </si>
  <si>
    <t>孕妇装</t>
    <phoneticPr fontId="5" type="noConversion"/>
  </si>
  <si>
    <t>杂牌</t>
    <phoneticPr fontId="5" type="noConversion"/>
  </si>
  <si>
    <t>杯子/吸管</t>
    <phoneticPr fontId="5" type="noConversion"/>
  </si>
  <si>
    <t>婴儿床/床垫</t>
    <phoneticPr fontId="5" type="noConversion"/>
  </si>
  <si>
    <t>farska、picci、好孩子</t>
    <phoneticPr fontId="5" type="noConversion"/>
  </si>
  <si>
    <t>枕头用毛巾折</t>
    <phoneticPr fontId="5" type="noConversion"/>
  </si>
  <si>
    <t>大床护栏</t>
    <phoneticPr fontId="5" type="noConversion"/>
  </si>
  <si>
    <t>MDB</t>
    <phoneticPr fontId="5" type="noConversion"/>
  </si>
  <si>
    <t>床铃和摇铃</t>
    <phoneticPr fontId="5" type="noConversion"/>
  </si>
  <si>
    <t>澳贝</t>
    <phoneticPr fontId="5" type="noConversion"/>
  </si>
  <si>
    <t>蚊帐</t>
    <phoneticPr fontId="5" type="noConversion"/>
  </si>
  <si>
    <t>婴儿监视器</t>
    <phoneticPr fontId="5" type="noConversion"/>
  </si>
  <si>
    <t>隔尿垫</t>
    <phoneticPr fontId="5" type="noConversion"/>
  </si>
  <si>
    <t>婴儿抱被/睡袋</t>
    <phoneticPr fontId="5" type="noConversion"/>
  </si>
  <si>
    <t>爽身粉</t>
    <phoneticPr fontId="5" type="noConversion"/>
  </si>
  <si>
    <t>哈罗闪</t>
    <phoneticPr fontId="5" type="noConversion"/>
  </si>
  <si>
    <t>少用</t>
    <phoneticPr fontId="5" type="noConversion"/>
  </si>
  <si>
    <t>尿布台</t>
    <phoneticPr fontId="5" type="noConversion"/>
  </si>
  <si>
    <t>纸尿裤</t>
    <phoneticPr fontId="5" type="noConversion"/>
  </si>
  <si>
    <t>花王、大王</t>
    <phoneticPr fontId="5" type="noConversion"/>
  </si>
  <si>
    <t>指甲剪</t>
    <phoneticPr fontId="5" type="noConversion"/>
  </si>
  <si>
    <t>Zoli</t>
    <phoneticPr fontId="5" type="noConversion"/>
  </si>
  <si>
    <t>洗澡水温计</t>
    <phoneticPr fontId="5" type="noConversion"/>
  </si>
  <si>
    <t>日康</t>
    <phoneticPr fontId="5" type="noConversion"/>
  </si>
  <si>
    <t>浴盆</t>
    <phoneticPr fontId="5" type="noConversion"/>
  </si>
  <si>
    <t>折叠皮</t>
    <phoneticPr fontId="5" type="noConversion"/>
  </si>
  <si>
    <t>婴儿洗发露沐浴露</t>
    <phoneticPr fontId="5" type="noConversion"/>
  </si>
  <si>
    <t>施巴</t>
    <phoneticPr fontId="5" type="noConversion"/>
  </si>
  <si>
    <t>婴儿润肤露</t>
    <phoneticPr fontId="5" type="noConversion"/>
  </si>
  <si>
    <t>aveeno</t>
    <phoneticPr fontId="5" type="noConversion"/>
  </si>
  <si>
    <t>护臀霜</t>
    <phoneticPr fontId="5" type="noConversion"/>
  </si>
  <si>
    <t>Weleda</t>
    <phoneticPr fontId="5" type="noConversion"/>
  </si>
  <si>
    <t>纱布澡巾,浴巾，手绢</t>
    <phoneticPr fontId="5" type="noConversion"/>
  </si>
  <si>
    <t>全棉时代</t>
    <phoneticPr fontId="5" type="noConversion"/>
  </si>
  <si>
    <t>小脸盆，小脚盆</t>
    <phoneticPr fontId="5" type="noConversion"/>
  </si>
  <si>
    <t>洗衣皂</t>
    <phoneticPr fontId="5" type="noConversion"/>
  </si>
  <si>
    <t>保宁皂</t>
    <phoneticPr fontId="5" type="noConversion"/>
  </si>
  <si>
    <t>婴儿极细棉签</t>
    <phoneticPr fontId="5" type="noConversion"/>
  </si>
  <si>
    <t>清理鼻子</t>
    <phoneticPr fontId="5" type="noConversion"/>
  </si>
  <si>
    <t>医用棉签、棉球、纱布、胶带</t>
    <phoneticPr fontId="5" type="noConversion"/>
  </si>
  <si>
    <t>碘伏</t>
    <phoneticPr fontId="5" type="noConversion"/>
  </si>
  <si>
    <t>牙刷</t>
    <phoneticPr fontId="5" type="noConversion"/>
  </si>
  <si>
    <t>MDB360度牙刷</t>
    <phoneticPr fontId="5" type="noConversion"/>
  </si>
  <si>
    <t>牙胶、磨牙工具</t>
    <phoneticPr fontId="5" type="noConversion"/>
  </si>
  <si>
    <t>可么多么、苏菲小鹿</t>
    <phoneticPr fontId="5" type="noConversion"/>
  </si>
  <si>
    <t>漱口水</t>
    <phoneticPr fontId="5" type="noConversion"/>
  </si>
  <si>
    <t>贝亲</t>
    <phoneticPr fontId="5" type="noConversion"/>
  </si>
  <si>
    <t>退烧药</t>
    <phoneticPr fontId="5" type="noConversion"/>
  </si>
  <si>
    <t>泰诺林、美林</t>
    <phoneticPr fontId="5" type="noConversion"/>
  </si>
  <si>
    <t>口服补液盐</t>
    <phoneticPr fontId="5" type="noConversion"/>
  </si>
  <si>
    <t>驱蚊喷雾</t>
    <phoneticPr fontId="5" type="noConversion"/>
  </si>
  <si>
    <t>cutter、OFF!</t>
    <phoneticPr fontId="5" type="noConversion"/>
  </si>
  <si>
    <t>&gt;6 months</t>
    <phoneticPr fontId="5" type="noConversion"/>
  </si>
  <si>
    <t>止痒</t>
    <phoneticPr fontId="5" type="noConversion"/>
  </si>
  <si>
    <t>无比滴</t>
    <phoneticPr fontId="5" type="noConversion"/>
  </si>
  <si>
    <t>湿疹膏</t>
    <phoneticPr fontId="5" type="noConversion"/>
  </si>
  <si>
    <t>优色林万用膏</t>
    <phoneticPr fontId="5" type="noConversion"/>
  </si>
  <si>
    <t>维生素D、AD</t>
    <phoneticPr fontId="5" type="noConversion"/>
  </si>
  <si>
    <t>海南星鲨、伊可心</t>
    <phoneticPr fontId="5" type="noConversion"/>
  </si>
  <si>
    <t>直肠温度计</t>
    <phoneticPr fontId="5" type="noConversion"/>
  </si>
  <si>
    <t>耳温枪</t>
    <phoneticPr fontId="5" type="noConversion"/>
  </si>
  <si>
    <t>博朗</t>
    <phoneticPr fontId="5" type="noConversion"/>
  </si>
  <si>
    <t>护脐带</t>
    <phoneticPr fontId="5" type="noConversion"/>
  </si>
  <si>
    <t>健琪</t>
    <phoneticPr fontId="5" type="noConversion"/>
  </si>
  <si>
    <t>吸鼻器</t>
    <phoneticPr fontId="5" type="noConversion"/>
  </si>
  <si>
    <t>Nosefrida</t>
    <phoneticPr fontId="5" type="noConversion"/>
  </si>
  <si>
    <t>汽车安全座椅</t>
    <phoneticPr fontId="5" type="noConversion"/>
  </si>
  <si>
    <t>康贝</t>
    <phoneticPr fontId="5" type="noConversion"/>
  </si>
  <si>
    <t>伞车</t>
    <phoneticPr fontId="5" type="noConversion"/>
  </si>
  <si>
    <t>bugaboo bee5</t>
    <phoneticPr fontId="5" type="noConversion"/>
  </si>
  <si>
    <t>康贝?</t>
    <phoneticPr fontId="5" type="noConversion"/>
  </si>
  <si>
    <t>背带</t>
    <phoneticPr fontId="5" type="noConversion"/>
  </si>
  <si>
    <t>Baby Bjorn、Ergobaby</t>
    <phoneticPr fontId="5" type="noConversion"/>
  </si>
  <si>
    <t>〉3 months</t>
    <phoneticPr fontId="5" type="noConversion"/>
  </si>
  <si>
    <t>背巾</t>
    <phoneticPr fontId="5" type="noConversion"/>
  </si>
  <si>
    <t>完美头型?</t>
    <phoneticPr fontId="5" type="noConversion"/>
  </si>
  <si>
    <t>和尚服哈衣袜子外出服</t>
    <phoneticPr fontId="5" type="noConversion"/>
  </si>
  <si>
    <t>英氏、卡特、NEXT</t>
    <phoneticPr fontId="5" type="noConversion"/>
  </si>
  <si>
    <t>哺乳巾</t>
    <phoneticPr fontId="5" type="noConversion"/>
  </si>
  <si>
    <t>湿巾</t>
    <phoneticPr fontId="5" type="noConversion"/>
  </si>
  <si>
    <t>口水巾</t>
    <phoneticPr fontId="5" type="noConversion"/>
  </si>
  <si>
    <t>防晒</t>
    <phoneticPr fontId="5" type="noConversion"/>
  </si>
  <si>
    <t>安耐晒宝宝防晒霜</t>
    <phoneticPr fontId="5" type="noConversion"/>
  </si>
  <si>
    <t>太阳镜</t>
    <phoneticPr fontId="5" type="noConversion"/>
  </si>
  <si>
    <t>Babybanz、julbo</t>
    <phoneticPr fontId="5" type="noConversion"/>
  </si>
  <si>
    <t>围兜</t>
    <phoneticPr fontId="5" type="noConversion"/>
  </si>
  <si>
    <t>baby bjorn</t>
    <phoneticPr fontId="5" type="noConversion"/>
  </si>
  <si>
    <t>鞋子</t>
    <phoneticPr fontId="5" type="noConversion"/>
  </si>
  <si>
    <t>江博士、亚瑟士</t>
    <phoneticPr fontId="5" type="noConversion"/>
  </si>
  <si>
    <t>防走失包</t>
    <phoneticPr fontId="5" type="noConversion"/>
  </si>
  <si>
    <t>skip hop</t>
    <phoneticPr fontId="5" type="noConversion"/>
  </si>
  <si>
    <t>电动吸奶器</t>
    <phoneticPr fontId="5" type="noConversion"/>
  </si>
  <si>
    <t>美德乐</t>
    <phoneticPr fontId="5" type="noConversion"/>
  </si>
  <si>
    <t>乳头保护罩</t>
    <phoneticPr fontId="5" type="noConversion"/>
  </si>
  <si>
    <t>防溢乳垫</t>
    <phoneticPr fontId="5" type="noConversion"/>
  </si>
  <si>
    <t>乳头皲裂膏</t>
    <phoneticPr fontId="5" type="noConversion"/>
  </si>
  <si>
    <t>储奶杯</t>
    <phoneticPr fontId="5" type="noConversion"/>
  </si>
  <si>
    <t>存奶袋</t>
    <phoneticPr fontId="5" type="noConversion"/>
  </si>
  <si>
    <t>蓝冰和冰包</t>
    <phoneticPr fontId="5" type="noConversion"/>
  </si>
  <si>
    <t>奶瓶</t>
    <phoneticPr fontId="5" type="noConversion"/>
  </si>
  <si>
    <t>可么多么； 美德乐亲喂</t>
    <phoneticPr fontId="5" type="noConversion"/>
  </si>
  <si>
    <t>奶瓶刷</t>
    <phoneticPr fontId="5" type="noConversion"/>
  </si>
  <si>
    <t>备用奶嘴</t>
    <phoneticPr fontId="5" type="noConversion"/>
  </si>
  <si>
    <t>Simba</t>
    <phoneticPr fontId="5" type="noConversion"/>
  </si>
  <si>
    <t>安抚奶嘴</t>
    <phoneticPr fontId="5" type="noConversion"/>
  </si>
  <si>
    <t>奶瓶夹</t>
    <phoneticPr fontId="5" type="noConversion"/>
  </si>
  <si>
    <t>奶瓶清洗剂</t>
    <phoneticPr fontId="5" type="noConversion"/>
  </si>
  <si>
    <t>温奶器</t>
    <phoneticPr fontId="5" type="noConversion"/>
  </si>
  <si>
    <t>小白熊</t>
    <phoneticPr fontId="5" type="noConversion"/>
  </si>
  <si>
    <t>奶瓶晾干器</t>
    <phoneticPr fontId="5" type="noConversion"/>
  </si>
  <si>
    <t>餐椅</t>
    <phoneticPr fontId="5" type="noConversion"/>
  </si>
  <si>
    <t>爱音</t>
    <phoneticPr fontId="5" type="noConversion"/>
  </si>
  <si>
    <t>儿童安全餐椅带</t>
    <phoneticPr fontId="5" type="noConversion"/>
  </si>
  <si>
    <t>千趣会</t>
    <phoneticPr fontId="5" type="noConversion"/>
  </si>
  <si>
    <t>吸盘碗</t>
    <phoneticPr fontId="5" type="noConversion"/>
  </si>
  <si>
    <t>麦肯齐</t>
    <phoneticPr fontId="5" type="noConversion"/>
  </si>
  <si>
    <t>学饮杯</t>
    <phoneticPr fontId="5" type="noConversion"/>
  </si>
  <si>
    <t>料理棒料理机</t>
    <phoneticPr fontId="5" type="noConversion"/>
  </si>
  <si>
    <t>维他美仕</t>
    <phoneticPr fontId="5" type="noConversion"/>
  </si>
  <si>
    <t>辅食研磨器</t>
    <phoneticPr fontId="5" type="noConversion"/>
  </si>
  <si>
    <t>奶粉</t>
    <phoneticPr fontId="5" type="noConversion"/>
  </si>
  <si>
    <t>惠氏启赋</t>
    <phoneticPr fontId="5" type="noConversion"/>
  </si>
  <si>
    <t>喂辅食小软勺</t>
    <phoneticPr fontId="5" type="noConversion"/>
  </si>
  <si>
    <t>安全插座</t>
    <phoneticPr fontId="5" type="noConversion"/>
  </si>
  <si>
    <t>宜家</t>
    <phoneticPr fontId="5" type="noConversion"/>
  </si>
  <si>
    <t>防撞角</t>
    <phoneticPr fontId="5" type="noConversion"/>
  </si>
  <si>
    <t>prince lionheart</t>
    <phoneticPr fontId="5" type="noConversion"/>
  </si>
  <si>
    <t>水龙头延伸器</t>
    <phoneticPr fontId="5" type="noConversion"/>
  </si>
  <si>
    <t>AqueDuck</t>
    <phoneticPr fontId="5" type="noConversion"/>
  </si>
  <si>
    <t>&gt;2 years</t>
    <phoneticPr fontId="5" type="noConversion"/>
  </si>
  <si>
    <t>布书</t>
    <phoneticPr fontId="5" type="noConversion"/>
  </si>
  <si>
    <t>Lamaze</t>
    <phoneticPr fontId="5" type="noConversion"/>
  </si>
  <si>
    <t>积木</t>
    <phoneticPr fontId="5" type="noConversion"/>
  </si>
  <si>
    <t>Hape</t>
    <phoneticPr fontId="5" type="noConversion"/>
  </si>
  <si>
    <t>黑白卡、彩色卡</t>
    <phoneticPr fontId="5" type="noConversion"/>
  </si>
  <si>
    <t>爬行垫</t>
    <phoneticPr fontId="5" type="noConversion"/>
  </si>
  <si>
    <t>Parklon</t>
    <phoneticPr fontId="5" type="noConversion"/>
  </si>
  <si>
    <t>手推车</t>
    <phoneticPr fontId="5" type="noConversion"/>
  </si>
  <si>
    <t>费雪</t>
    <phoneticPr fontId="5" type="noConversion"/>
  </si>
  <si>
    <t>健身架</t>
    <phoneticPr fontId="5" type="noConversion"/>
  </si>
  <si>
    <t>sum</t>
    <phoneticPr fontId="5" type="noConversion"/>
  </si>
  <si>
    <t>Sun</t>
  </si>
  <si>
    <t>Mon</t>
  </si>
  <si>
    <t>Tue</t>
  </si>
  <si>
    <t>Wed</t>
  </si>
  <si>
    <t>Thu</t>
  </si>
  <si>
    <t>Fri</t>
  </si>
  <si>
    <t>Sat</t>
  </si>
  <si>
    <t>LONG-TERM</t>
  </si>
  <si>
    <t>Schengen</t>
  </si>
  <si>
    <t>Yinuo: 240901 - 250228</t>
  </si>
  <si>
    <t>Zhuolin: 240802 - 250801</t>
  </si>
  <si>
    <t xml:space="preserve">Jiangwei: </t>
  </si>
  <si>
    <t>New Malden</t>
  </si>
  <si>
    <t>transport museum</t>
  </si>
  <si>
    <t>zoo</t>
  </si>
  <si>
    <t>OUTING?</t>
  </si>
  <si>
    <t>hygiene appointment</t>
  </si>
  <si>
    <t>service car</t>
  </si>
  <si>
    <t>Michael Birthday</t>
  </si>
  <si>
    <t>Bath prep</t>
  </si>
  <si>
    <t>tippy toes</t>
  </si>
  <si>
    <t>nursery morning &amp;
national army museum afternoon</t>
  </si>
  <si>
    <t>Planning Week</t>
  </si>
  <si>
    <t>tippy toes
register</t>
  </si>
  <si>
    <t>Kexin</t>
  </si>
  <si>
    <t>Kexin US Visa</t>
  </si>
  <si>
    <t>Pivot</t>
  </si>
  <si>
    <t>Work Visa!</t>
  </si>
  <si>
    <t>Spain Visa</t>
  </si>
  <si>
    <t>nursery starts</t>
  </si>
  <si>
    <t>Bye 11 week</t>
  </si>
  <si>
    <t>Tippy Toes Ballet</t>
  </si>
  <si>
    <t>Yinuo Dentist</t>
  </si>
  <si>
    <t>hospital visit 14.00</t>
  </si>
  <si>
    <t>Zhuolin Dentist</t>
  </si>
  <si>
    <t>flu vaccination</t>
  </si>
  <si>
    <t>Scott 1-1</t>
  </si>
  <si>
    <t>Yinuo assessment @2.30</t>
  </si>
  <si>
    <t>10.30 Lindo Wing</t>
  </si>
  <si>
    <t>bankloan</t>
  </si>
  <si>
    <t>bondFutureOption</t>
  </si>
  <si>
    <t>TWENTY-SEVEN</t>
  </si>
  <si>
    <t>TWENTY-SIX</t>
  </si>
  <si>
    <t>TWELVE</t>
  </si>
  <si>
    <t>Bath</t>
  </si>
  <si>
    <t>Yinuo BIRTHDAY</t>
  </si>
  <si>
    <t>Center Parcs</t>
  </si>
  <si>
    <t>cambridge</t>
  </si>
  <si>
    <t>blood tests</t>
  </si>
  <si>
    <t>hysterscopy</t>
  </si>
  <si>
    <t>follow-up appointment</t>
  </si>
  <si>
    <t>ballet</t>
  </si>
  <si>
    <t>work from China</t>
  </si>
  <si>
    <t>w0</t>
  </si>
  <si>
    <t>w1</t>
  </si>
  <si>
    <t>w2</t>
  </si>
  <si>
    <t>w3</t>
  </si>
  <si>
    <t>w4</t>
  </si>
  <si>
    <t>w5</t>
  </si>
  <si>
    <t>w6</t>
  </si>
  <si>
    <t>w7</t>
  </si>
  <si>
    <t>w8</t>
  </si>
  <si>
    <t>w9</t>
  </si>
  <si>
    <t>w10</t>
  </si>
  <si>
    <t>w11</t>
  </si>
  <si>
    <t>w12</t>
  </si>
  <si>
    <t>w13</t>
  </si>
  <si>
    <t>Laura Party</t>
  </si>
  <si>
    <t>w14</t>
  </si>
  <si>
    <t>CHURCH SCHOOL STARTS</t>
  </si>
  <si>
    <t>planning week</t>
  </si>
  <si>
    <t>MIL flight
20:25</t>
  </si>
  <si>
    <t>Greenwich activities</t>
  </si>
  <si>
    <t>Chunwan</t>
  </si>
  <si>
    <t>Henal</t>
  </si>
  <si>
    <t>Hatching Dragon</t>
  </si>
  <si>
    <t>Ayana show</t>
  </si>
  <si>
    <t>mum arrives 14.00</t>
  </si>
  <si>
    <t>SURGERY</t>
  </si>
  <si>
    <t>Dasha Birthday</t>
  </si>
  <si>
    <t>ballet ends</t>
  </si>
  <si>
    <t>Winsor</t>
  </si>
  <si>
    <t>Visa - Yinuo/Jiangwei</t>
  </si>
  <si>
    <t>hatching dragon</t>
  </si>
  <si>
    <t>Bright Horizon</t>
  </si>
  <si>
    <t>Crowne Plaza</t>
  </si>
  <si>
    <t>PlayMandarin trial</t>
  </si>
  <si>
    <t>driving 1</t>
  </si>
  <si>
    <t>pool closed</t>
  </si>
  <si>
    <t>driving 2</t>
  </si>
  <si>
    <t>cycling instead of swimming</t>
  </si>
  <si>
    <t>driving 3</t>
  </si>
  <si>
    <t>fly</t>
  </si>
  <si>
    <t>Club Med - Morocco</t>
  </si>
  <si>
    <t>driving 4</t>
  </si>
  <si>
    <t>cycling</t>
  </si>
  <si>
    <t>drinks reception</t>
  </si>
  <si>
    <t>driving 5</t>
  </si>
  <si>
    <t>Hysteroscopy @ 6.00am</t>
  </si>
  <si>
    <t>driving 6</t>
  </si>
  <si>
    <t>tennis 2</t>
  </si>
  <si>
    <t>Newcastle</t>
  </si>
  <si>
    <t>driving 7</t>
  </si>
  <si>
    <t>tennis 3</t>
  </si>
  <si>
    <t>Brighton</t>
  </si>
  <si>
    <t>driving 8</t>
  </si>
  <si>
    <t>tennis 4</t>
  </si>
  <si>
    <t>driving 9</t>
  </si>
  <si>
    <t>tennis 5</t>
  </si>
  <si>
    <t>Ballet ends</t>
  </si>
  <si>
    <t>tennis 6</t>
  </si>
  <si>
    <t>BH*2</t>
  </si>
  <si>
    <t>Coville camp</t>
  </si>
  <si>
    <t>DPP 10 天</t>
  </si>
  <si>
    <t>嬸嬸</t>
  </si>
  <si>
    <t>gymnastics</t>
  </si>
  <si>
    <t>tennis1</t>
  </si>
  <si>
    <t>Perform</t>
  </si>
  <si>
    <t>tennis2</t>
  </si>
  <si>
    <t>swimming</t>
  </si>
  <si>
    <t>gymnastics/Dtennis</t>
  </si>
  <si>
    <t>teddy tennis</t>
  </si>
  <si>
    <t>Arrays</t>
  </si>
  <si>
    <t>tennis3</t>
  </si>
  <si>
    <t>tennis4</t>
  </si>
  <si>
    <t>Algorithms</t>
  </si>
  <si>
    <t>tennis5</t>
  </si>
  <si>
    <t>park 2k</t>
  </si>
  <si>
    <t>Memory</t>
  </si>
  <si>
    <t>tennis6</t>
  </si>
  <si>
    <t>teddy tennis/Lille with Yinuo</t>
  </si>
  <si>
    <t>Data Strucutres</t>
  </si>
  <si>
    <t>BH - 2 days</t>
  </si>
  <si>
    <t>SJSJ breaks</t>
  </si>
  <si>
    <t>dentist @16.20</t>
  </si>
  <si>
    <t>Python</t>
  </si>
  <si>
    <t>AI</t>
  </si>
  <si>
    <t>private swimming</t>
  </si>
  <si>
    <t>SQL</t>
  </si>
  <si>
    <t>PILATES</t>
  </si>
  <si>
    <t>Swimming</t>
  </si>
  <si>
    <t>DavidFeng</t>
  </si>
  <si>
    <t>PILATES1</t>
  </si>
  <si>
    <t>PILATES2</t>
  </si>
  <si>
    <t>Private Swimming</t>
  </si>
  <si>
    <t>Luka S party</t>
  </si>
  <si>
    <t>PILATES3</t>
  </si>
  <si>
    <t>180</t>
  </si>
  <si>
    <t>teddy tennis/240</t>
  </si>
  <si>
    <t>piano trial</t>
  </si>
  <si>
    <t>Spain</t>
  </si>
  <si>
    <t>BIG CHEF 1</t>
  </si>
  <si>
    <t>Yinuo activity 2</t>
  </si>
  <si>
    <t>Pilates 3</t>
  </si>
  <si>
    <t>creche 2 hours</t>
  </si>
  <si>
    <t>SoundBath</t>
  </si>
  <si>
    <t>Piano</t>
  </si>
  <si>
    <t>CAMP/SJSJ half term</t>
  </si>
  <si>
    <t>girls depart from 12pm</t>
  </si>
  <si>
    <t>half term</t>
  </si>
  <si>
    <t>school starts</t>
  </si>
  <si>
    <t>EDD</t>
  </si>
  <si>
    <t>ML - start</t>
  </si>
  <si>
    <t>打完四個月寶寶疫苗</t>
  </si>
  <si>
    <t>CNY: Feb 16 2026</t>
  </si>
  <si>
    <t>HOSPITAL #</t>
  </si>
  <si>
    <t>Country</t>
  </si>
  <si>
    <t>City</t>
  </si>
  <si>
    <t>Resort</t>
  </si>
  <si>
    <t>Mini Club</t>
  </si>
  <si>
    <t>flight hour</t>
  </si>
  <si>
    <t>ML - end</t>
  </si>
  <si>
    <t>满六个月</t>
  </si>
  <si>
    <t>NHS #</t>
  </si>
  <si>
    <t>Brazil</t>
  </si>
  <si>
    <t>Sao Paulo</t>
  </si>
  <si>
    <t>Lake Paradis</t>
  </si>
  <si>
    <t>Everyday</t>
  </si>
  <si>
    <t>Week0</t>
  </si>
  <si>
    <t>China</t>
  </si>
  <si>
    <t>Guilin</t>
  </si>
  <si>
    <t>Week1</t>
  </si>
  <si>
    <t>Changchun/Jilin</t>
  </si>
  <si>
    <t>Beidahu</t>
  </si>
  <si>
    <t>No Saturday</t>
  </si>
  <si>
    <t>Week2</t>
  </si>
  <si>
    <t>Lijiang</t>
  </si>
  <si>
    <t>Week3</t>
  </si>
  <si>
    <t>Thailand</t>
  </si>
  <si>
    <t>Phuket</t>
  </si>
  <si>
    <t>Week4</t>
  </si>
  <si>
    <t>in-womb; york sac seen</t>
  </si>
  <si>
    <t>Malaysia</t>
  </si>
  <si>
    <t>Kuantan</t>
  </si>
  <si>
    <t>Cherating Beach</t>
  </si>
  <si>
    <t>Week5</t>
  </si>
  <si>
    <t>Japan</t>
  </si>
  <si>
    <t>Ishigaki</t>
  </si>
  <si>
    <t>Kabria Ishigaki</t>
  </si>
  <si>
    <t>Week6</t>
  </si>
  <si>
    <t>heart beat 142</t>
  </si>
  <si>
    <t>Indonesia</t>
  </si>
  <si>
    <t>Denpasar</t>
  </si>
  <si>
    <t>Bali</t>
  </si>
  <si>
    <t>Week7</t>
  </si>
  <si>
    <t>scan good, 7w+5</t>
  </si>
  <si>
    <t>Seychelles</t>
  </si>
  <si>
    <t>Seychelle</t>
  </si>
  <si>
    <t>15h</t>
  </si>
  <si>
    <t>Week8</t>
  </si>
  <si>
    <t>set-up record</t>
  </si>
  <si>
    <t>Maldives</t>
  </si>
  <si>
    <t>Male</t>
  </si>
  <si>
    <t>Kani</t>
  </si>
  <si>
    <t>Week9</t>
  </si>
  <si>
    <t>Mauritius</t>
  </si>
  <si>
    <t>Plaisance</t>
  </si>
  <si>
    <t>a few</t>
  </si>
  <si>
    <t>Week10</t>
  </si>
  <si>
    <t>Malaga</t>
  </si>
  <si>
    <t>Magna Marbella</t>
  </si>
  <si>
    <t>3h</t>
  </si>
  <si>
    <t>Week11</t>
  </si>
  <si>
    <t>Portugal</t>
  </si>
  <si>
    <t>Faro</t>
  </si>
  <si>
    <t>Da Balaia</t>
  </si>
  <si>
    <t>No Sunday</t>
  </si>
  <si>
    <t>Week12</t>
  </si>
  <si>
    <t>Turkey</t>
  </si>
  <si>
    <t>Antalya</t>
  </si>
  <si>
    <t>Palmiye</t>
  </si>
  <si>
    <t>Week13</t>
  </si>
  <si>
    <t>Switzerland</t>
  </si>
  <si>
    <t>Geneve-Cointrin</t>
  </si>
  <si>
    <t>The Grand Massif Samoens Morillon</t>
  </si>
  <si>
    <t>Week14</t>
  </si>
  <si>
    <t>France</t>
  </si>
  <si>
    <t>Chambery-Voglans</t>
  </si>
  <si>
    <t>The Valmorel Chalet-Apartments</t>
  </si>
  <si>
    <t>Week15</t>
  </si>
  <si>
    <t>Valmorel</t>
  </si>
  <si>
    <t>Week16</t>
  </si>
  <si>
    <t>Les Arcs Panorama</t>
  </si>
  <si>
    <t>Week17</t>
  </si>
  <si>
    <t>La Rochelle-Laleu</t>
  </si>
  <si>
    <t>La Palmyre Atlantique</t>
  </si>
  <si>
    <t>Week18</t>
  </si>
  <si>
    <t>Nice</t>
  </si>
  <si>
    <t>Opio en Provence</t>
  </si>
  <si>
    <t>Week19</t>
  </si>
  <si>
    <t>Grenoble Aples Isere</t>
  </si>
  <si>
    <t>Alpe d'Huez</t>
  </si>
  <si>
    <t>Week20</t>
  </si>
  <si>
    <t>Week21</t>
  </si>
  <si>
    <t>Yabuli/Mudanjiang</t>
  </si>
  <si>
    <t>Yabuli</t>
  </si>
  <si>
    <t>Feb</t>
  </si>
  <si>
    <t>Week22</t>
  </si>
  <si>
    <t>Obihiro/Shintoku</t>
  </si>
  <si>
    <t>Sahoro Hokkaido</t>
  </si>
  <si>
    <t>Week23</t>
  </si>
  <si>
    <t>Geneva-Cointrin</t>
  </si>
  <si>
    <t>Week24</t>
  </si>
  <si>
    <t>La Rosiere(1h 30min)</t>
  </si>
  <si>
    <t>Apr</t>
  </si>
  <si>
    <t>Week25</t>
  </si>
  <si>
    <t>Les Arcs Panorama(1h 30min)</t>
  </si>
  <si>
    <t>Week26</t>
  </si>
  <si>
    <t>La Plagne 2100(1h 15min)</t>
  </si>
  <si>
    <t>Week27</t>
  </si>
  <si>
    <t>Valmorel(1h 20min)</t>
  </si>
  <si>
    <t>Week28</t>
  </si>
  <si>
    <t>Peisey-vallandry(1h 40min)</t>
  </si>
  <si>
    <t>Week29</t>
  </si>
  <si>
    <t>Val d'Isere(2h)</t>
  </si>
  <si>
    <t>Week30</t>
  </si>
  <si>
    <t>Tignes(2h)</t>
  </si>
  <si>
    <t>Week31</t>
  </si>
  <si>
    <t>Serre chevalier(2h 40min)</t>
  </si>
  <si>
    <t>Week32</t>
  </si>
  <si>
    <t>Alpe d'Huez(1h 30min)</t>
  </si>
  <si>
    <t>Week33</t>
  </si>
  <si>
    <t>Midwife appointment</t>
  </si>
  <si>
    <t>BA companion</t>
  </si>
  <si>
    <t>08/19/2025</t>
  </si>
  <si>
    <t>Week34</t>
  </si>
  <si>
    <t>BA upgrade</t>
  </si>
  <si>
    <t>Week35</t>
  </si>
  <si>
    <t>Week36</t>
  </si>
  <si>
    <t>Week37</t>
  </si>
  <si>
    <t>LAST PERIOD</t>
  </si>
  <si>
    <t># weeks 23/02/2025</t>
  </si>
  <si>
    <t># weeks 20/04/2025</t>
  </si>
  <si>
    <t># weeks 08/19/2025 - outbound before this date</t>
  </si>
  <si>
    <t>Week38</t>
  </si>
  <si>
    <t>week 11</t>
  </si>
  <si>
    <t>week 19</t>
  </si>
  <si>
    <t>week 36</t>
  </si>
  <si>
    <t>Week39</t>
  </si>
  <si>
    <t>dubai trip??</t>
  </si>
  <si>
    <t>Shanghai: 12h45/14h35</t>
  </si>
  <si>
    <t>Week40</t>
  </si>
  <si>
    <t>cruise EUROPE!</t>
  </si>
  <si>
    <t>cruise ICELAND! - FAMILY</t>
  </si>
  <si>
    <t>clubMed TURKEY</t>
  </si>
  <si>
    <t>clubMed FRANCE</t>
  </si>
  <si>
    <t>reception</t>
  </si>
  <si>
    <t>2024年9月</t>
  </si>
  <si>
    <t>2030年9月</t>
  </si>
  <si>
    <t>7+ result</t>
  </si>
  <si>
    <t>2033年2月</t>
  </si>
  <si>
    <t>7+</t>
  </si>
  <si>
    <t>2027年9月</t>
  </si>
  <si>
    <t>2033年9月</t>
  </si>
  <si>
    <t>8+ result</t>
  </si>
  <si>
    <t>2034年2月</t>
  </si>
  <si>
    <t>8+</t>
  </si>
  <si>
    <t>2034年9月</t>
  </si>
  <si>
    <t>11+ result</t>
  </si>
  <si>
    <t>2031年2月</t>
  </si>
  <si>
    <t>secondary</t>
  </si>
  <si>
    <t xml:space="preserve">2031年9月 </t>
  </si>
  <si>
    <t>yr 7-8</t>
  </si>
  <si>
    <t>yr 9-11</t>
  </si>
  <si>
    <t>yr 12-13</t>
  </si>
  <si>
    <t>A level</t>
  </si>
  <si>
    <t>2036年9月</t>
  </si>
  <si>
    <t>大學</t>
  </si>
  <si>
    <t>2038年9月</t>
  </si>
  <si>
    <t>max</t>
  </si>
  <si>
    <t>min</t>
  </si>
  <si>
    <t>Ada</t>
  </si>
  <si>
    <t>Anoushka</t>
  </si>
  <si>
    <t>Athena</t>
  </si>
  <si>
    <t>Aurelia</t>
  </si>
  <si>
    <t>Ava</t>
  </si>
  <si>
    <t>Elizabeth</t>
  </si>
  <si>
    <t>Eloise</t>
  </si>
  <si>
    <t>Evelina</t>
  </si>
  <si>
    <t>Ginevra</t>
  </si>
  <si>
    <t>Grace G</t>
  </si>
  <si>
    <t>Grace WB</t>
  </si>
  <si>
    <t>Joy</t>
  </si>
  <si>
    <t>Nadia</t>
  </si>
  <si>
    <t>Nour</t>
  </si>
  <si>
    <t>Paloma</t>
  </si>
  <si>
    <t>Reagan</t>
  </si>
  <si>
    <t>Rose</t>
  </si>
  <si>
    <t>Sora</t>
  </si>
  <si>
    <t>Yinuo</t>
  </si>
  <si>
    <t>Tarka</t>
  </si>
  <si>
    <t>21-30</t>
  </si>
  <si>
    <t>Bouncing Castle</t>
  </si>
  <si>
    <t>Venue</t>
  </si>
  <si>
    <t>Name</t>
  </si>
  <si>
    <t>Location</t>
  </si>
  <si>
    <t>Timeline</t>
  </si>
  <si>
    <t>Industry</t>
  </si>
  <si>
    <t>Shortlist?</t>
  </si>
  <si>
    <t>Capital Group</t>
  </si>
  <si>
    <t>Paddington</t>
  </si>
  <si>
    <t>Dec</t>
  </si>
  <si>
    <t>Y</t>
  </si>
  <si>
    <t>Invesco</t>
  </si>
  <si>
    <t>Marble Arch</t>
  </si>
  <si>
    <t>Nov</t>
  </si>
  <si>
    <t>Asset Management</t>
  </si>
  <si>
    <t>Abu Dhabi Investment Authority</t>
  </si>
  <si>
    <t>Asset Owners</t>
  </si>
  <si>
    <t>Allianz Global Investors UK Ltd</t>
  </si>
  <si>
    <t>Amundi IT Services SNC</t>
  </si>
  <si>
    <t>Bank Julius Baer &amp; Co Ltd.</t>
  </si>
  <si>
    <t>Banking &amp; Trading</t>
  </si>
  <si>
    <t>BayernInvest Kapitalverwaltungsgesellschaft mbH</t>
  </si>
  <si>
    <t>BCC Sistemi Informatici</t>
  </si>
  <si>
    <t>Others</t>
  </si>
  <si>
    <t>Candriam - Belgian branch</t>
  </si>
  <si>
    <t>Credit Industriel et Commercial (CIC)</t>
  </si>
  <si>
    <t>Credit Suisse AG</t>
  </si>
  <si>
    <t>Wealth Management</t>
  </si>
  <si>
    <t>DekaBank Deutsche Girozentrale</t>
  </si>
  <si>
    <t>DWS Investment GmbH</t>
  </si>
  <si>
    <t>Evonik Industries AG</t>
  </si>
  <si>
    <t>FIL Investment Management Limited</t>
  </si>
  <si>
    <t>Första AP-Fonden (AP1)</t>
  </si>
  <si>
    <t>Hargreaves Lansdown Asset Management Limited</t>
  </si>
  <si>
    <t>Helaba Invest Kapitalanlagegesellschaft mbH</t>
  </si>
  <si>
    <t>Insight Investment Management (Global) Limited</t>
  </si>
  <si>
    <t>J.P. Morgan Securities Plc</t>
  </si>
  <si>
    <t>Janus Henderson Administration UK Limited</t>
  </si>
  <si>
    <t>Jefferies International Limited</t>
  </si>
  <si>
    <t>JPMorgan Asset Management (UK) Limited</t>
  </si>
  <si>
    <t>KEPLER-FONDS Kapitalanlagegesellschaft m.b.H.</t>
  </si>
  <si>
    <t>Keva</t>
  </si>
  <si>
    <t>LGT Capital Partners Ltd</t>
  </si>
  <si>
    <t>Alternative Invt Mgmt</t>
  </si>
  <si>
    <t>LGT Financial Services AG</t>
  </si>
  <si>
    <t>Lombard Odier Asset Management (Switzerland) SA</t>
  </si>
  <si>
    <t>MDC General Services Holding Company LLC</t>
  </si>
  <si>
    <t>Mediobanca Innovation Service S.C.p.A.</t>
  </si>
  <si>
    <t>Mercer Global Investments Europe Ltd.</t>
  </si>
  <si>
    <t>Natixis Investment Managers</t>
  </si>
  <si>
    <t>Nordea Investment Management AB</t>
  </si>
  <si>
    <t>Norges Bank (NBIM)</t>
  </si>
  <si>
    <t>Ostrum Asset Management</t>
  </si>
  <si>
    <t>Public Investment Fund</t>
  </si>
  <si>
    <t>Qatar Investment Authority</t>
  </si>
  <si>
    <t>Rokos Capital Management LLP</t>
  </si>
  <si>
    <t>Shell Asset Management Company B.V.</t>
  </si>
  <si>
    <t>Swiss Life Asset Management AG</t>
  </si>
  <si>
    <t>Swiss National Bank</t>
  </si>
  <si>
    <t>Vontobel Asset Management AG</t>
  </si>
  <si>
    <t>Zurich Insurance Company Ltd.</t>
  </si>
  <si>
    <t>Insurance</t>
  </si>
  <si>
    <t>JESSE'S</t>
  </si>
  <si>
    <t>Reformer Pilates</t>
  </si>
  <si>
    <t>3.15-4pm</t>
  </si>
  <si>
    <t>190+90</t>
  </si>
  <si>
    <t>190*2+90</t>
  </si>
  <si>
    <t>Small Group Training</t>
  </si>
  <si>
    <t>280/m</t>
  </si>
  <si>
    <t>470/m</t>
  </si>
  <si>
    <t>Boxing</t>
  </si>
  <si>
    <t>181/m</t>
  </si>
  <si>
    <t>freeze to Mar 1 2025</t>
  </si>
  <si>
    <t>Yoga</t>
  </si>
  <si>
    <t>Mat Pilates</t>
  </si>
  <si>
    <t>Flow, Stretch &amp; Breathe</t>
  </si>
  <si>
    <t>Strength &amp; Conditioning</t>
  </si>
  <si>
    <t>Pregnancy Yoga</t>
  </si>
  <si>
    <t>Post Natal Yoga</t>
  </si>
  <si>
    <t>Westend Dance Class</t>
  </si>
  <si>
    <t>Zumba Dance</t>
  </si>
  <si>
    <t>Dance Cardio</t>
  </si>
  <si>
    <t>HIIT</t>
  </si>
  <si>
    <t>Boot Camp</t>
  </si>
  <si>
    <t>Barre</t>
  </si>
  <si>
    <t>Circuits</t>
  </si>
  <si>
    <t>Adult Free Swim</t>
  </si>
  <si>
    <t>12-1pm</t>
  </si>
  <si>
    <t>Spin</t>
  </si>
  <si>
    <t>Power Spin</t>
  </si>
  <si>
    <t>Jesse's Fun Club</t>
  </si>
  <si>
    <t>4-6pm</t>
  </si>
  <si>
    <t>9.30-11.30am</t>
  </si>
  <si>
    <t>Pizza Making and Eating</t>
  </si>
  <si>
    <t>4.30-5pm</t>
  </si>
  <si>
    <t>Musical Theatre</t>
  </si>
  <si>
    <t>4-4.30pm</t>
  </si>
  <si>
    <t>Spanish Club</t>
  </si>
  <si>
    <t>Big Chef</t>
  </si>
  <si>
    <t>French Club</t>
  </si>
  <si>
    <t>Disco Diva and Dudes</t>
  </si>
  <si>
    <t>Amanda's Action Club</t>
  </si>
  <si>
    <t>9.15-9.45am</t>
  </si>
  <si>
    <t>Little Foxes Football</t>
  </si>
  <si>
    <t>Little Foxes Rugby</t>
  </si>
  <si>
    <t>Jungle Gym drop-off</t>
  </si>
  <si>
    <t>9.30-10.30am
2.30-3.30pm
3.30-4.30pm</t>
  </si>
  <si>
    <t>Free play MUGA</t>
  </si>
  <si>
    <t>12-3pm</t>
  </si>
  <si>
    <t>Arts and Crafts</t>
  </si>
  <si>
    <t>2-4pm</t>
  </si>
  <si>
    <t>Family Splash Time</t>
  </si>
  <si>
    <t>JAEGO'S</t>
  </si>
  <si>
    <t>5 session</t>
  </si>
  <si>
    <t>10 session</t>
  </si>
  <si>
    <t>weekday all inclusive</t>
  </si>
  <si>
    <t>all inclusive *1</t>
  </si>
  <si>
    <t>all inclusive *2</t>
  </si>
  <si>
    <t>Big Chefs</t>
  </si>
  <si>
    <t>125+35</t>
  </si>
  <si>
    <t>125*2+35</t>
  </si>
  <si>
    <t>150+40</t>
  </si>
  <si>
    <t>160+50</t>
  </si>
  <si>
    <t>160*2+50</t>
  </si>
  <si>
    <t>Building Scientist</t>
  </si>
  <si>
    <t>160/m</t>
  </si>
  <si>
    <t>285/m</t>
  </si>
  <si>
    <t>190/m</t>
  </si>
  <si>
    <t>210/m</t>
  </si>
  <si>
    <t>370/m</t>
  </si>
  <si>
    <t>Quest</t>
  </si>
  <si>
    <t>4.45-5.15pm</t>
  </si>
  <si>
    <t>Creative Club</t>
  </si>
  <si>
    <t>4.30-5.00pm</t>
  </si>
  <si>
    <t>Disco Divas and Dudes</t>
  </si>
  <si>
    <t>PERFORM</t>
  </si>
  <si>
    <t>Jaego's Fun Club(4-6pm)</t>
  </si>
  <si>
    <t>big chef</t>
  </si>
  <si>
    <t>building scientist</t>
  </si>
  <si>
    <t>arts &amp; crafts</t>
  </si>
  <si>
    <t>mini designers</t>
  </si>
  <si>
    <t>Baby Ballet</t>
  </si>
  <si>
    <t>CHINESE - playMandarin</t>
  </si>
  <si>
    <t>Tarka(1.5-3yr)</t>
  </si>
  <si>
    <t>Year 1</t>
  </si>
  <si>
    <t>Toddler Hiphop</t>
  </si>
  <si>
    <t>Year 2</t>
  </si>
  <si>
    <t>`</t>
  </si>
  <si>
    <t>Tarka(3-4.5yr)</t>
  </si>
  <si>
    <t>Year 3</t>
  </si>
  <si>
    <t>Junk Modelling</t>
  </si>
  <si>
    <t>Year 4</t>
  </si>
  <si>
    <t>Year 5</t>
  </si>
  <si>
    <t>Funky Fingers</t>
  </si>
  <si>
    <t>Year 6</t>
  </si>
  <si>
    <t>Story Time Messy Play</t>
  </si>
  <si>
    <t>Arts &amp; Crafts</t>
  </si>
  <si>
    <t>17.00-18.00</t>
  </si>
  <si>
    <t>private lesson</t>
  </si>
  <si>
    <t>tennis</t>
  </si>
  <si>
    <t>17.15-18.00(teddy tennis)</t>
  </si>
  <si>
    <t>kumon</t>
  </si>
  <si>
    <t>15.30-18.00</t>
  </si>
  <si>
    <t>drama(perform nottinghill)</t>
  </si>
  <si>
    <t>17.05-18.05</t>
  </si>
  <si>
    <t>16.00-17.00</t>
  </si>
  <si>
    <t>st matthew's(lego)</t>
  </si>
  <si>
    <t>15.45-16.45</t>
  </si>
  <si>
    <t>Chinese</t>
  </si>
  <si>
    <t>10.00-12.00</t>
  </si>
  <si>
    <t>instrument - piano&amp;violin</t>
  </si>
  <si>
    <t>ISA</t>
  </si>
  <si>
    <t>2023-2024</t>
  </si>
  <si>
    <t>2024-2025</t>
  </si>
  <si>
    <t>2025-2026</t>
  </si>
  <si>
    <t>DPP</t>
  </si>
  <si>
    <t>10000/20000</t>
  </si>
  <si>
    <t>ZPP</t>
  </si>
  <si>
    <t>20000/20000</t>
  </si>
  <si>
    <t>DYN</t>
  </si>
  <si>
    <t>9000/9000</t>
  </si>
  <si>
    <t>二</t>
  </si>
  <si>
    <t>bupa platinum?</t>
  </si>
  <si>
    <t>bupa cover all?</t>
  </si>
  <si>
    <t>central London?</t>
  </si>
  <si>
    <t>recent experiences</t>
  </si>
  <si>
    <t>main field</t>
  </si>
  <si>
    <t>years</t>
  </si>
  <si>
    <t>highlights</t>
  </si>
  <si>
    <t>short-listed?</t>
  </si>
  <si>
    <t>Ahmad Sayasneh</t>
  </si>
  <si>
    <t>N</t>
  </si>
  <si>
    <t>ovarian cysts</t>
  </si>
  <si>
    <t>Alexandra Lawrence</t>
  </si>
  <si>
    <t>Amer Raza</t>
  </si>
  <si>
    <t>Y???</t>
  </si>
  <si>
    <t>Andreas Papadopoulos</t>
  </si>
  <si>
    <t>Annette Reid</t>
  </si>
  <si>
    <t>no comments?</t>
  </si>
  <si>
    <t>Anthony Davies</t>
  </si>
  <si>
    <t>Ashfaq Khan</t>
  </si>
  <si>
    <t>Brett A Winter-Roach</t>
  </si>
  <si>
    <t>Cecilia Bottomley</t>
  </si>
  <si>
    <t>Christian Barnick</t>
  </si>
  <si>
    <t>Chukwuemeka Okaro</t>
  </si>
  <si>
    <t>Colin Davis</t>
  </si>
  <si>
    <t>Dana Touqmatchi</t>
  </si>
  <si>
    <t>Denis Tsepov</t>
  </si>
  <si>
    <t>endometriosis</t>
  </si>
  <si>
    <t>robot</t>
  </si>
  <si>
    <t>Eleni Mavrides</t>
  </si>
  <si>
    <t>Ellis Downes</t>
  </si>
  <si>
    <t>Farida Bano</t>
  </si>
  <si>
    <t>Gautam Mehra</t>
  </si>
  <si>
    <t>oncology</t>
  </si>
  <si>
    <t>Ghada Salmon</t>
  </si>
  <si>
    <t>Hugh Byrne</t>
  </si>
  <si>
    <t>Ian Chilcott</t>
  </si>
  <si>
    <t>C-section</t>
  </si>
  <si>
    <t>Jayanta Chatterjee</t>
  </si>
  <si>
    <t>Jenny Lo</t>
  </si>
  <si>
    <t>?</t>
  </si>
  <si>
    <t>surgery?</t>
  </si>
  <si>
    <t>Joseph Aquilina</t>
  </si>
  <si>
    <t>Joseph Iskaros</t>
  </si>
  <si>
    <t>Karolina Afors</t>
  </si>
  <si>
    <t>Kevin Harrington</t>
  </si>
  <si>
    <t>Krupa Madhvani</t>
  </si>
  <si>
    <t>Leila Hanna</t>
  </si>
  <si>
    <t>Lubna Haque</t>
  </si>
  <si>
    <t>Marina Fernando</t>
  </si>
  <si>
    <t>Milica Perovic</t>
  </si>
  <si>
    <t>Nadine Di Donato</t>
  </si>
  <si>
    <t>Narendra Pisal</t>
  </si>
  <si>
    <t>Naweed Shahid</t>
  </si>
  <si>
    <t>Urogynaecology</t>
  </si>
  <si>
    <t>Nitish Narvekar</t>
  </si>
  <si>
    <t>Olorunfunmi Odusoga</t>
  </si>
  <si>
    <t>Omer Devaja</t>
  </si>
  <si>
    <t>Pandelis Athanasias</t>
  </si>
  <si>
    <t>Parijat Bhattacharjee</t>
  </si>
  <si>
    <t>Philippe de Rosnay</t>
  </si>
  <si>
    <t>Pradnya Pisal</t>
  </si>
  <si>
    <t>Raef Faris</t>
  </si>
  <si>
    <t>fibroid vs fertility</t>
  </si>
  <si>
    <t>Rahul Nath</t>
  </si>
  <si>
    <t>Ramesan Navaratnarajah</t>
  </si>
  <si>
    <t>IVF</t>
  </si>
  <si>
    <t>Rhonda Flemming</t>
  </si>
  <si>
    <t>Shaheen Khazali</t>
  </si>
  <si>
    <t>Sharmistha Guha</t>
  </si>
  <si>
    <t>Srdjan Saso</t>
  </si>
  <si>
    <t>Sujata Gupta</t>
  </si>
  <si>
    <t>Suku George</t>
  </si>
  <si>
    <t>Tariq Miskry</t>
  </si>
  <si>
    <t>Tom Setchell</t>
  </si>
  <si>
    <t>Thomas Ind</t>
  </si>
  <si>
    <t>Vasileios Minas</t>
  </si>
  <si>
    <t>Vik Khullar</t>
  </si>
  <si>
    <t>Yasser Diab</t>
  </si>
  <si>
    <t>pelvic floor</t>
  </si>
  <si>
    <t>Yulia Gurtovaya</t>
  </si>
  <si>
    <t>2021-2022</t>
  </si>
  <si>
    <t>2022-2023</t>
  </si>
  <si>
    <t>May</t>
  </si>
  <si>
    <t>Jun</t>
  </si>
  <si>
    <t>Jul</t>
  </si>
  <si>
    <t>Aug</t>
  </si>
  <si>
    <t>Sep</t>
  </si>
  <si>
    <t>Oct</t>
  </si>
  <si>
    <t>Jan</t>
  </si>
  <si>
    <t>Mar</t>
  </si>
  <si>
    <t>benefits</t>
  </si>
  <si>
    <t>SUM</t>
  </si>
  <si>
    <t>BASE</t>
  </si>
  <si>
    <t>BASE INCRESE</t>
  </si>
  <si>
    <t>BONUS</t>
  </si>
  <si>
    <t>BONUS %</t>
  </si>
  <si>
    <t>STOCK ($)</t>
  </si>
  <si>
    <t>STOCK (£)</t>
  </si>
  <si>
    <t>TOTAL</t>
  </si>
  <si>
    <t>PENSION PERSONAL/m</t>
  </si>
  <si>
    <t>BONUS into PENSION</t>
  </si>
  <si>
    <t>TOTAL PENSION</t>
  </si>
  <si>
    <t>PENSION ALLOWANCE</t>
  </si>
  <si>
    <t>get approval</t>
  </si>
  <si>
    <t>When you get the certificate</t>
  </si>
  <si>
    <t>posted job online</t>
  </si>
  <si>
    <t>Applications are considered on the first working day after the 10th day of the month. This is called the ‘allocation date’. If you apply after the 5th day of the month then your application will be held until the next month’s allocation date.</t>
  </si>
  <si>
    <t>job taken down</t>
  </si>
  <si>
    <t>Your application may also be held until the next month’s allocation date so that the details of your application can be checked.</t>
  </si>
  <si>
    <t>job taken down again</t>
  </si>
  <si>
    <t>Your restricted certificate will appear in your SMS account on the allocation date if your application has been approved. You can then assign a certificate to a worker.</t>
  </si>
  <si>
    <t>？？？</t>
  </si>
  <si>
    <t>Fragomen contact me</t>
  </si>
  <si>
    <t>You can apply again if your application is not approved.</t>
  </si>
  <si>
    <t>fly back to China</t>
  </si>
  <si>
    <t>fly to London</t>
  </si>
  <si>
    <t>EG1750351</t>
  </si>
  <si>
    <t>Not doing this any more</t>
  </si>
  <si>
    <t>小虎疫苗时间表</t>
  </si>
  <si>
    <t>Date</t>
  </si>
  <si>
    <t>SCHOOLS</t>
  </si>
  <si>
    <t>list</t>
  </si>
  <si>
    <t>status</t>
  </si>
  <si>
    <t>ranking</t>
  </si>
  <si>
    <t>comments</t>
  </si>
  <si>
    <t>8 weeks</t>
  </si>
  <si>
    <t>6-in-1(1st dose);
Rotavirus vaccine;
MenB(1st dose)</t>
  </si>
  <si>
    <t>Pembridge Hall</t>
  </si>
  <si>
    <t>waitlisted</t>
  </si>
  <si>
    <t>12 weeks</t>
  </si>
  <si>
    <t>6-in-1 (2nd dose);
PCV(1st dose);
Rotavirus(2nd)</t>
  </si>
  <si>
    <t>Kensington Prep</t>
  </si>
  <si>
    <t>assessment</t>
  </si>
  <si>
    <t>16 weeks</t>
  </si>
  <si>
    <t>6-in-1 (3rd dose);
MenB(2nd dose)</t>
  </si>
  <si>
    <t>Queen's College Prep</t>
  </si>
  <si>
    <t>1 year</t>
  </si>
  <si>
    <t>Hib/MenC(1st dose);
MMR(1st dose);
PCV(2nd dose);
MenB(3rd dose)</t>
  </si>
  <si>
    <t>St Paul Cathedral</t>
  </si>
  <si>
    <t>2 to 10 years</t>
  </si>
  <si>
    <t>Flu vaccine(every year)</t>
  </si>
  <si>
    <t>Thomas's Kensington</t>
  </si>
  <si>
    <t>3 years and 4 months</t>
  </si>
  <si>
    <t>MMR(2nd dose);
4-in-1-pre-school</t>
  </si>
  <si>
    <t>Notting Hill Prep</t>
  </si>
  <si>
    <t>ballot</t>
  </si>
  <si>
    <t>12 to 13 years</t>
  </si>
  <si>
    <t>HPV vaccine</t>
  </si>
  <si>
    <t>14 years</t>
  </si>
  <si>
    <t>3-in-1 teenage;
MenACWY</t>
  </si>
  <si>
    <t>65 years</t>
  </si>
  <si>
    <t>66 years</t>
  </si>
  <si>
    <t>70 years</t>
  </si>
  <si>
    <t>ESG</t>
  </si>
  <si>
    <t>Remy Briand</t>
  </si>
  <si>
    <t>Real Estate</t>
  </si>
  <si>
    <t>Jay McNamara</t>
  </si>
  <si>
    <t>Index</t>
  </si>
  <si>
    <t>Diana Tidd</t>
  </si>
  <si>
    <t>Analytics</t>
  </si>
  <si>
    <t>Jorge Mina</t>
  </si>
  <si>
    <t>Kyriakis, Triphonas</t>
  </si>
  <si>
    <t>Chan, Peter</t>
  </si>
  <si>
    <t>BarraOne</t>
  </si>
  <si>
    <t>Dan Sinnreich</t>
  </si>
  <si>
    <t>Giulio Panzano</t>
  </si>
  <si>
    <t>Chaudhari, Prafulla</t>
  </si>
  <si>
    <t>Beon</t>
  </si>
  <si>
    <t>Daniel Kenworthy</t>
  </si>
  <si>
    <t>Rakesh Amin</t>
  </si>
  <si>
    <t>Thomas Ta</t>
  </si>
  <si>
    <t>Luis Lopez</t>
  </si>
  <si>
    <t>Chang Liu</t>
  </si>
  <si>
    <t>RiskServer</t>
  </si>
  <si>
    <t>Jay Dermody</t>
  </si>
  <si>
    <t>Paulina Serrano</t>
  </si>
  <si>
    <t>Akanksha</t>
  </si>
  <si>
    <t>Omar Garcia</t>
  </si>
  <si>
    <t>BPM</t>
  </si>
  <si>
    <t>Howard Zhu</t>
  </si>
  <si>
    <t>Shuang Li</t>
  </si>
  <si>
    <t>Research</t>
  </si>
  <si>
    <t>Peter Zangari</t>
  </si>
  <si>
    <t>Sebastien Lieblich</t>
  </si>
  <si>
    <t>Bert Teuben</t>
  </si>
  <si>
    <t>Aylur Subramanian, Raman</t>
  </si>
  <si>
    <t>Ladure, Jean-Maurice</t>
  </si>
  <si>
    <t>Doole, Stuart</t>
  </si>
  <si>
    <t>Zhen Wei</t>
  </si>
  <si>
    <t>Peter Shepard</t>
  </si>
  <si>
    <t>Andras Bohak</t>
  </si>
  <si>
    <t>Reka Janosik</t>
  </si>
  <si>
    <t>Laszlo Hollo</t>
  </si>
  <si>
    <t>Risk Server</t>
  </si>
  <si>
    <t>Melas, Dimitris</t>
  </si>
  <si>
    <t>Giese, Guido</t>
  </si>
  <si>
    <t>Nagy Zoltan</t>
  </si>
  <si>
    <t>Equity Core Research</t>
  </si>
  <si>
    <t>Coverage</t>
  </si>
  <si>
    <t>Laurent Seyer</t>
  </si>
  <si>
    <t>Munari, Alvise</t>
  </si>
  <si>
    <t>Veerman, Rene</t>
  </si>
  <si>
    <t>Alessandro Pavone</t>
  </si>
  <si>
    <t>Yana Vardarska</t>
  </si>
  <si>
    <t>Ian Jester</t>
  </si>
  <si>
    <t>Consultant</t>
  </si>
  <si>
    <t>Samprabhu Rubandhas</t>
  </si>
  <si>
    <t>Lim, Jenny</t>
  </si>
  <si>
    <t>Jack Lin</t>
  </si>
  <si>
    <t>Jeffrey Ho</t>
  </si>
  <si>
    <t>Bryan Wu</t>
  </si>
  <si>
    <t>Hong Liu</t>
  </si>
  <si>
    <t>Julie Wang</t>
  </si>
  <si>
    <t>Technology</t>
  </si>
  <si>
    <t>Jigar Thakkar</t>
  </si>
  <si>
    <t>Malik Kalfane</t>
  </si>
  <si>
    <t>Beon Dev</t>
  </si>
  <si>
    <t>Tony Antoun</t>
  </si>
  <si>
    <t>Alex Aleskovski</t>
  </si>
  <si>
    <t>Jessica Ree</t>
  </si>
  <si>
    <t>AQA</t>
  </si>
  <si>
    <t>Shobana Rocque</t>
  </si>
  <si>
    <t>Jim</t>
  </si>
  <si>
    <t>Zhuolin</t>
  </si>
  <si>
    <t>FQA</t>
  </si>
  <si>
    <t>Hunter Cadzow</t>
  </si>
  <si>
    <t>RiskServer Dev</t>
  </si>
  <si>
    <t>对不起小板</t>
  </si>
  <si>
    <t>Tetralogy of Fallot</t>
  </si>
  <si>
    <t>兑换</t>
  </si>
  <si>
    <t>Las Vegas</t>
  </si>
  <si>
    <t>升舱</t>
  </si>
  <si>
    <t>Sau Pao</t>
  </si>
  <si>
    <t>Hong Kong</t>
  </si>
  <si>
    <t>Canada</t>
  </si>
  <si>
    <t>USA</t>
  </si>
  <si>
    <t>Colchester 2</t>
  </si>
  <si>
    <t>Windsor 3</t>
  </si>
  <si>
    <t>Sheffield &amp; Peak District 3</t>
  </si>
  <si>
    <t>Scotland 5</t>
  </si>
  <si>
    <t>Cambridge 1</t>
  </si>
  <si>
    <t>Bath/Cotswold 3</t>
  </si>
  <si>
    <t>Paris 4</t>
  </si>
  <si>
    <t>Lake District 7</t>
  </si>
  <si>
    <t>Oxford 1</t>
  </si>
  <si>
    <t>Italy, Montenegro, Greece, Croatia 10</t>
  </si>
  <si>
    <t>Amsterdam 4</t>
  </si>
  <si>
    <t>Southampton 2</t>
  </si>
  <si>
    <t>Spain with Sprinter(SORRY, little sprinter)</t>
  </si>
  <si>
    <t>Center Parcs 3</t>
  </si>
  <si>
    <t>Berlin 3</t>
  </si>
  <si>
    <t>China 30</t>
  </si>
  <si>
    <t>Southampton 4</t>
  </si>
  <si>
    <t>Edinburgh 4</t>
  </si>
  <si>
    <t>Paris 6</t>
  </si>
  <si>
    <t>GBP:CNY</t>
  </si>
  <si>
    <t>PR18-0325796</t>
  </si>
  <si>
    <t>Boston House</t>
  </si>
  <si>
    <t>routine examinations</t>
  </si>
  <si>
    <t>hygiene treatment</t>
  </si>
  <si>
    <t>dental x-ray</t>
  </si>
  <si>
    <t>restorative treatment</t>
  </si>
  <si>
    <t>80% 400</t>
  </si>
  <si>
    <t>100% reimbursement for NHS</t>
  </si>
  <si>
    <t>dental injury</t>
  </si>
  <si>
    <t>4 times 2500</t>
  </si>
  <si>
    <t>emergency dental treatment</t>
  </si>
  <si>
    <t>4 times 200</t>
  </si>
  <si>
    <t>dentist call-out fee</t>
  </si>
  <si>
    <t>2 times 150</t>
  </si>
  <si>
    <t>hospital cash benefit</t>
  </si>
  <si>
    <t>100/night 1000</t>
  </si>
  <si>
    <t>mouth cancer cover</t>
  </si>
  <si>
    <t>20000 18months</t>
  </si>
  <si>
    <t>24-hour emergency helpline</t>
  </si>
  <si>
    <t>dentist fees for telephone consultation following injury/emergency</t>
  </si>
  <si>
    <t>policy number: 0419973478</t>
  </si>
  <si>
    <t xml:space="preserve">web chat to discuss claims and authorisation as long as does not need to go to one of our specialist team </t>
  </si>
  <si>
    <t>call in to our member services team on 0345 609 0444 and they are open Monday to Friday 08:00-20:00 and Saturday 08:00-16:00.</t>
  </si>
  <si>
    <t>Roodlane</t>
  </si>
  <si>
    <t>Lancaster Gate Medical Center</t>
  </si>
  <si>
    <t>Shahina Karim</t>
  </si>
  <si>
    <t>Gynaecology</t>
  </si>
  <si>
    <t>Breast</t>
  </si>
  <si>
    <t xml:space="preserve"> </t>
  </si>
  <si>
    <t>policy number:</t>
  </si>
  <si>
    <t>TK11426615</t>
  </si>
  <si>
    <t>Autumn Term</t>
  </si>
  <si>
    <t>FEES</t>
  </si>
  <si>
    <t>HOLIDAYS</t>
  </si>
  <si>
    <t>normal</t>
  </si>
  <si>
    <t>term start</t>
  </si>
  <si>
    <t>holiday</t>
  </si>
  <si>
    <t>full-time/full-activity</t>
  </si>
  <si>
    <t>full-time/no-activity</t>
  </si>
  <si>
    <t>half term holiday</t>
  </si>
  <si>
    <t>Oct 24 to Oct 28</t>
  </si>
  <si>
    <t>end of term</t>
  </si>
  <si>
    <t>teaching weeks</t>
  </si>
  <si>
    <t>15 week</t>
  </si>
  <si>
    <t>Spring term</t>
  </si>
  <si>
    <t>Feb 13 to Feb 17</t>
  </si>
  <si>
    <t>easter holiday activities</t>
  </si>
  <si>
    <t>Apr 11 to Apr 14</t>
  </si>
  <si>
    <t>12 weeks 3 days</t>
  </si>
  <si>
    <t>Summer Term</t>
  </si>
  <si>
    <t>May 30 to Jun 2</t>
  </si>
  <si>
    <t>summer holiday activities</t>
  </si>
  <si>
    <t>Jul 31 to Aug 4</t>
  </si>
  <si>
    <t>13 weeks 4 days</t>
  </si>
  <si>
    <t>extracurricular activities</t>
  </si>
  <si>
    <t>bag</t>
  </si>
  <si>
    <t>wk32</t>
  </si>
  <si>
    <t>wk33</t>
  </si>
  <si>
    <t>wk34</t>
  </si>
  <si>
    <t>wk35</t>
  </si>
  <si>
    <t>wk37</t>
  </si>
  <si>
    <t>wk38</t>
  </si>
  <si>
    <t>wk39</t>
  </si>
  <si>
    <t>NO DRIVING</t>
  </si>
  <si>
    <t>Hainan trip?</t>
  </si>
  <si>
    <t>2025 PTO</t>
  </si>
  <si>
    <t>2025 holidays</t>
  </si>
  <si>
    <t>2026 PTO</t>
  </si>
  <si>
    <t>2026 holidays</t>
  </si>
  <si>
    <t>Week41</t>
  </si>
  <si>
    <t>Week42</t>
  </si>
  <si>
    <t>Week43</t>
  </si>
  <si>
    <t>Week44</t>
  </si>
  <si>
    <t>Week45</t>
  </si>
  <si>
    <t>Week46</t>
  </si>
  <si>
    <t>Week47</t>
  </si>
  <si>
    <t>Week48</t>
  </si>
  <si>
    <t>Week49</t>
  </si>
  <si>
    <t>Week50</t>
  </si>
  <si>
    <t>Week51</t>
  </si>
  <si>
    <t>KIT days</t>
  </si>
  <si>
    <t>2026 December</t>
  </si>
  <si>
    <t>full pay</t>
  </si>
  <si>
    <t>part pay</t>
  </si>
  <si>
    <t>Week52</t>
  </si>
  <si>
    <t>Week53</t>
  </si>
  <si>
    <t>Week54</t>
  </si>
  <si>
    <t>Week55</t>
  </si>
  <si>
    <t>Week56</t>
  </si>
  <si>
    <t>Week57</t>
  </si>
  <si>
    <t>Week58</t>
  </si>
  <si>
    <t>Week59</t>
  </si>
  <si>
    <t>Week60</t>
  </si>
  <si>
    <t>Week61</t>
  </si>
  <si>
    <t>Week62</t>
  </si>
  <si>
    <t>Week63</t>
  </si>
  <si>
    <t>Week64</t>
  </si>
  <si>
    <t>Week65</t>
  </si>
  <si>
    <t>Week66</t>
  </si>
  <si>
    <t>Week67</t>
  </si>
  <si>
    <t>Week68</t>
  </si>
  <si>
    <t>Mar Fingers crossed</t>
  </si>
  <si>
    <t>June is for party and getting ready</t>
  </si>
  <si>
    <t>July/August for the new settling</t>
  </si>
  <si>
    <t>Sep best wishes</t>
  </si>
  <si>
    <t>大姑</t>
  </si>
  <si>
    <t>爸爸</t>
  </si>
  <si>
    <t>妈妈</t>
  </si>
  <si>
    <t>2026 Apr</t>
  </si>
  <si>
    <t>Hainan?</t>
  </si>
  <si>
    <t>Turkey?</t>
  </si>
  <si>
    <t>Skiing?</t>
  </si>
  <si>
    <t>2026 Jun</t>
  </si>
  <si>
    <t>back to work</t>
  </si>
  <si>
    <t>2026 Dec</t>
  </si>
  <si>
    <t>Oct research for nursery and set timeline</t>
  </si>
  <si>
    <t>check</t>
  </si>
  <si>
    <t>2025年9月</t>
  </si>
  <si>
    <t>born</t>
  </si>
  <si>
    <t>2020年5月</t>
  </si>
  <si>
    <t>nursery</t>
  </si>
  <si>
    <t>2026年9月</t>
  </si>
  <si>
    <t>2028年9月</t>
  </si>
  <si>
    <t>2029年1月</t>
  </si>
  <si>
    <t>SJSJ</t>
  </si>
  <si>
    <t>SJSJ？</t>
  </si>
  <si>
    <t>Les Petites Etoles</t>
  </si>
  <si>
    <t>PH/Wetherby</t>
  </si>
  <si>
    <t>DAYS</t>
  </si>
  <si>
    <t>2026 Sep</t>
  </si>
  <si>
    <t>start nursery</t>
  </si>
  <si>
    <t>Reagan birthday cake</t>
  </si>
  <si>
    <t>4h45min (LGW)</t>
  </si>
  <si>
    <t>2h55min</t>
  </si>
  <si>
    <t>airport-resort</t>
  </si>
  <si>
    <t>1h</t>
  </si>
  <si>
    <t>40min</t>
  </si>
  <si>
    <t>Jiangwei holidays</t>
  </si>
  <si>
    <t>MW appt@11.00</t>
  </si>
  <si>
    <t>doctor appt @9.20</t>
  </si>
  <si>
    <t>GTT@9.10</t>
  </si>
  <si>
    <t>art</t>
  </si>
  <si>
    <t>no PE</t>
  </si>
  <si>
    <t>drama</t>
  </si>
  <si>
    <t>lego</t>
  </si>
  <si>
    <t>mathletics</t>
  </si>
  <si>
    <t>PE</t>
  </si>
  <si>
    <t>science</t>
  </si>
  <si>
    <t>chess</t>
  </si>
  <si>
    <t>digital discovery</t>
  </si>
  <si>
    <t>jewellery making</t>
  </si>
  <si>
    <t>French</t>
  </si>
  <si>
    <t>crafts</t>
  </si>
  <si>
    <t>yoga</t>
  </si>
  <si>
    <t>nt scan and combined tests low risk</t>
  </si>
  <si>
    <t>Ballet Show</t>
  </si>
  <si>
    <t>Perform Show</t>
  </si>
  <si>
    <t>swimming backward</t>
  </si>
  <si>
    <t>10.00-15.00</t>
  </si>
  <si>
    <t>LITTLE SCIENCE CAMP(8.30-3.30)</t>
  </si>
  <si>
    <t>paternity &amp;
block leave</t>
  </si>
  <si>
    <t>CFC fetal heart scan I good</t>
  </si>
  <si>
    <t>ASD CAMP(8.30-5.00)</t>
  </si>
  <si>
    <t>nanny * 2</t>
  </si>
  <si>
    <t>Week69</t>
  </si>
  <si>
    <t>perineal massage - 4 times a week/10 mins</t>
  </si>
  <si>
    <t>May small rest</t>
  </si>
  <si>
    <t>Tennis 1</t>
  </si>
  <si>
    <t>Tennis 3</t>
  </si>
  <si>
    <t>Midwife appointment good</t>
  </si>
  <si>
    <t>wk20</t>
  </si>
  <si>
    <t>wk21</t>
  </si>
  <si>
    <t>wk22</t>
  </si>
  <si>
    <t>wk24</t>
  </si>
  <si>
    <t>wk25</t>
  </si>
  <si>
    <t>wk26</t>
  </si>
  <si>
    <t>wk27</t>
  </si>
  <si>
    <t>wk28</t>
  </si>
  <si>
    <t>wk29</t>
  </si>
  <si>
    <t>wk30</t>
  </si>
  <si>
    <t>wk31</t>
  </si>
  <si>
    <t>Jaego's</t>
  </si>
  <si>
    <t>Dentist</t>
  </si>
  <si>
    <t>April - buy a new dishwasher</t>
  </si>
  <si>
    <t>3.15 filling appt</t>
  </si>
  <si>
    <t>Elisa camp</t>
  </si>
  <si>
    <t>GTT2</t>
  </si>
  <si>
    <t>SJ starts school</t>
  </si>
  <si>
    <t>Perform Chelsea AIW Aug 11-15</t>
  </si>
  <si>
    <t>Perform Kensington AIW Aug 18-22</t>
  </si>
  <si>
    <t>stage 2</t>
  </si>
  <si>
    <t>stage3</t>
  </si>
  <si>
    <t>Tue 16.30-17.30</t>
  </si>
  <si>
    <t>gymnastics/piano</t>
  </si>
  <si>
    <t>wraparound/swimming</t>
  </si>
  <si>
    <t>BIG DAY???!!!</t>
  </si>
  <si>
    <t>wk36</t>
  </si>
  <si>
    <t>wk23</t>
  </si>
  <si>
    <t>birthday get-away</t>
  </si>
  <si>
    <t>Spanish camp</t>
  </si>
  <si>
    <t>10/07-02/09;12/12 - 05/01</t>
  </si>
  <si>
    <t>28w scan + Midwife appointment (how to book amenity room)</t>
  </si>
  <si>
    <t>32w scan+ doctor appointment</t>
  </si>
  <si>
    <t>36w scan+Midwife appointment</t>
  </si>
  <si>
    <t>final scan?</t>
  </si>
  <si>
    <t>20w scan good, monitor growth/CFC fetal heart scan II good</t>
  </si>
  <si>
    <t>scan good</t>
  </si>
  <si>
    <t>GTT1/doctor appointment good</t>
  </si>
  <si>
    <t>switch to Friday swimming(16.30-17.00)</t>
  </si>
  <si>
    <t>Colposcopy</t>
  </si>
  <si>
    <t>8.30/9.00</t>
  </si>
  <si>
    <t>11.00/12.30</t>
  </si>
  <si>
    <t>8.20</t>
  </si>
  <si>
    <t>12.30</t>
  </si>
  <si>
    <t>10.30/12.30</t>
  </si>
  <si>
    <t>Fri 16.30-17.00</t>
  </si>
  <si>
    <t>private on top of it</t>
  </si>
  <si>
    <t>PIANO</t>
  </si>
  <si>
    <t>CHINESE</t>
  </si>
  <si>
    <t>SWIMMING</t>
  </si>
  <si>
    <t>2025 2rd</t>
  </si>
  <si>
    <t>2025 1th</t>
  </si>
  <si>
    <t>Holland park June 1 - Jul 13 (strat from Jun 15?)</t>
  </si>
  <si>
    <t>holiday/spanish camp</t>
  </si>
  <si>
    <t>Tennis camp * 4</t>
  </si>
  <si>
    <t>demo</t>
  </si>
  <si>
    <t>15 weeks to 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</si>
</sst>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8" formatCode="&quot;£&quot;#,##0.00;[Red]\-&quot;£&quot;#,##0.00"/>
    <numFmt numFmtId="164" formatCode="0.0000"/>
    <numFmt numFmtId="165" formatCode="0.0"/>
  </numFmts>
  <fonts count="33">
    <font>
      <sz val="11"/>
      <color theme="1"/>
      <name val="Calibri"/>
      <family val="2"/>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name val="Calibri"/>
      <family val="2"/>
      <charset val="134"/>
      <scheme val="minor"/>
    </font>
    <font>
      <sz val="11"/>
      <color theme="0"/>
      <name val="Calibri"/>
      <family val="2"/>
      <charset val="134"/>
      <scheme val="minor"/>
    </font>
    <font>
      <sz val="11"/>
      <color theme="1"/>
      <name val="Calibri"/>
      <family val="3"/>
      <charset val="134"/>
      <scheme val="minor"/>
    </font>
    <font>
      <sz val="11"/>
      <color rgb="FFFF0000"/>
      <name val="Calibri"/>
      <family val="2"/>
      <charset val="134"/>
      <scheme val="minor"/>
    </font>
    <font>
      <sz val="11"/>
      <name val="Calibri"/>
      <family val="2"/>
      <scheme val="minor"/>
    </font>
    <font>
      <sz val="9"/>
      <color indexed="81"/>
      <name val="Tahoma"/>
      <family val="2"/>
    </font>
    <font>
      <b/>
      <sz val="9"/>
      <color indexed="81"/>
      <name val="Tahoma"/>
      <family val="2"/>
    </font>
    <font>
      <sz val="11"/>
      <color theme="1"/>
      <name val="Calibri"/>
      <family val="2"/>
      <charset val="134"/>
      <scheme val="minor"/>
    </font>
    <font>
      <b/>
      <sz val="11"/>
      <color theme="1"/>
      <name val="Calibri"/>
      <family val="3"/>
      <charset val="134"/>
      <scheme val="minor"/>
    </font>
    <font>
      <sz val="11"/>
      <color theme="0"/>
      <name val="Calibri"/>
      <family val="3"/>
      <charset val="134"/>
      <scheme val="minor"/>
    </font>
    <font>
      <b/>
      <sz val="11"/>
      <color rgb="FFFF0000"/>
      <name val="Calibri"/>
      <family val="3"/>
      <charset val="134"/>
      <scheme val="minor"/>
    </font>
    <font>
      <sz val="11"/>
      <color theme="1" tint="4.9989318521683403E-2"/>
      <name val="Calibri"/>
      <family val="3"/>
      <charset val="134"/>
      <scheme val="minor"/>
    </font>
    <font>
      <sz val="11"/>
      <name val="Calibri"/>
      <family val="3"/>
      <charset val="134"/>
      <scheme val="minor"/>
    </font>
    <font>
      <sz val="11"/>
      <color rgb="FFFF0000"/>
      <name val="Calibri"/>
      <family val="3"/>
      <charset val="134"/>
      <scheme val="minor"/>
    </font>
    <font>
      <sz val="12"/>
      <color theme="1"/>
      <name val="Times New Roman"/>
      <family val="1"/>
    </font>
    <font>
      <sz val="10"/>
      <color theme="1"/>
      <name val="Arial"/>
      <family val="2"/>
    </font>
    <font>
      <b/>
      <sz val="11"/>
      <color theme="1"/>
      <name val="Calibri"/>
      <family val="2"/>
      <scheme val="minor"/>
    </font>
    <font>
      <b/>
      <sz val="13.5"/>
      <color theme="1"/>
      <name val="Calibri"/>
      <family val="2"/>
      <charset val="134"/>
      <scheme val="minor"/>
    </font>
    <font>
      <b/>
      <sz val="28"/>
      <color theme="1"/>
      <name val="Calibri"/>
      <family val="2"/>
      <scheme val="minor"/>
    </font>
    <font>
      <sz val="11"/>
      <color theme="0"/>
      <name val="Calibri"/>
      <family val="2"/>
      <scheme val="minor"/>
    </font>
    <font>
      <sz val="8"/>
      <name val="Calibri"/>
      <family val="2"/>
      <charset val="134"/>
      <scheme val="minor"/>
    </font>
    <font>
      <b/>
      <sz val="14"/>
      <color theme="1"/>
      <name val="Calibri"/>
      <family val="2"/>
      <scheme val="minor"/>
    </font>
    <font>
      <b/>
      <sz val="10"/>
      <color rgb="FF000000"/>
      <name val="Arial"/>
      <family val="2"/>
    </font>
    <font>
      <sz val="11"/>
      <color rgb="FF333333"/>
      <name val="Arial"/>
      <family val="2"/>
    </font>
    <font>
      <sz val="11"/>
      <color rgb="FF333333"/>
      <name val="Inherit"/>
    </font>
    <font>
      <b/>
      <i/>
      <sz val="11"/>
      <color theme="1"/>
      <name val="Calibri"/>
      <family val="2"/>
      <scheme val="minor"/>
    </font>
    <font>
      <sz val="9"/>
      <color rgb="FF000000"/>
      <name val="Arial"/>
      <family val="2"/>
    </font>
    <font>
      <i/>
      <sz val="11"/>
      <color theme="1"/>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theme="7" tint="0.79998168889431442"/>
        <bgColor indexed="64"/>
      </patternFill>
    </fill>
    <fill>
      <patternFill patternType="solid">
        <fgColor rgb="FFFFFF9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rgb="FFC00000"/>
        <bgColor indexed="64"/>
      </patternFill>
    </fill>
    <fill>
      <patternFill patternType="solid">
        <fgColor rgb="FFFFC00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rgb="FFFFFFFF"/>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FF7474"/>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FFCE3C"/>
        <bgColor indexed="64"/>
      </patternFill>
    </fill>
    <fill>
      <patternFill patternType="solid">
        <fgColor rgb="FF29B95C"/>
        <bgColor indexed="64"/>
      </patternFill>
    </fill>
    <fill>
      <patternFill patternType="solid">
        <fgColor rgb="FF00B050"/>
        <bgColor indexed="64"/>
      </patternFill>
    </fill>
    <fill>
      <patternFill patternType="solid">
        <fgColor rgb="FF76E3FF"/>
        <bgColor indexed="64"/>
      </patternFill>
    </fill>
    <fill>
      <patternFill patternType="solid">
        <fgColor rgb="FFFFC6C6"/>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rgb="FFEDEDED"/>
      </bottom>
      <diagonal/>
    </border>
    <border>
      <left/>
      <right/>
      <top style="medium">
        <color rgb="FFE0E3E5"/>
      </top>
      <bottom style="medium">
        <color rgb="FFEDEDED"/>
      </bottom>
      <diagonal/>
    </border>
    <border>
      <left/>
      <right/>
      <top style="thin">
        <color rgb="FF000000"/>
      </top>
      <bottom/>
      <diagonal/>
    </border>
    <border>
      <left style="thin">
        <color rgb="FF000000"/>
      </left>
      <right/>
      <top style="thin">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alignment vertical="center"/>
    </xf>
    <xf numFmtId="9" fontId="12" fillId="0" borderId="0" applyFont="0" applyFill="0" applyBorder="0" applyAlignment="0" applyProtection="0">
      <alignment vertical="center"/>
    </xf>
    <xf numFmtId="0" fontId="4" fillId="0" borderId="0"/>
  </cellStyleXfs>
  <cellXfs count="251">
    <xf numFmtId="0" fontId="0" fillId="0" borderId="0" xfId="0">
      <alignment vertical="center"/>
    </xf>
    <xf numFmtId="0" fontId="7" fillId="0" borderId="0" xfId="0" applyFont="1">
      <alignment vertical="center"/>
    </xf>
    <xf numFmtId="0" fontId="8" fillId="0" borderId="0" xfId="0" applyFont="1">
      <alignment vertical="center"/>
    </xf>
    <xf numFmtId="0" fontId="0" fillId="2" borderId="0" xfId="0" applyFill="1">
      <alignment vertical="center"/>
    </xf>
    <xf numFmtId="1" fontId="0" fillId="0" borderId="0" xfId="0" applyNumberFormat="1">
      <alignment vertical="center"/>
    </xf>
    <xf numFmtId="0" fontId="13" fillId="0" borderId="0" xfId="0" applyFont="1" applyAlignment="1">
      <alignment horizontal="right" vertical="center"/>
    </xf>
    <xf numFmtId="1" fontId="7" fillId="0" borderId="0" xfId="0" applyNumberFormat="1" applyFont="1">
      <alignment vertical="center"/>
    </xf>
    <xf numFmtId="0" fontId="9" fillId="0" borderId="0" xfId="2" applyFont="1"/>
    <xf numFmtId="9" fontId="6" fillId="0" borderId="0" xfId="0" applyNumberFormat="1" applyFont="1">
      <alignment vertical="center"/>
    </xf>
    <xf numFmtId="2" fontId="0" fillId="0" borderId="0" xfId="0" applyNumberFormat="1">
      <alignment vertical="center"/>
    </xf>
    <xf numFmtId="2" fontId="7" fillId="0" borderId="0" xfId="0" applyNumberFormat="1" applyFont="1">
      <alignment vertical="center"/>
    </xf>
    <xf numFmtId="10" fontId="6" fillId="0" borderId="0" xfId="0" applyNumberFormat="1" applyFont="1">
      <alignment vertical="center"/>
    </xf>
    <xf numFmtId="10" fontId="6" fillId="0" borderId="0" xfId="1" applyNumberFormat="1" applyFont="1">
      <alignment vertical="center"/>
    </xf>
    <xf numFmtId="2" fontId="14" fillId="0" borderId="0" xfId="0" applyNumberFormat="1" applyFont="1">
      <alignment vertical="center"/>
    </xf>
    <xf numFmtId="2" fontId="8" fillId="0" borderId="0" xfId="0" applyNumberFormat="1" applyFont="1">
      <alignment vertical="center"/>
    </xf>
    <xf numFmtId="0" fontId="4" fillId="0" borderId="0" xfId="2"/>
    <xf numFmtId="0" fontId="13" fillId="0" borderId="0" xfId="0" applyFont="1">
      <alignment vertical="center"/>
    </xf>
    <xf numFmtId="1" fontId="9" fillId="0" borderId="0" xfId="2" applyNumberFormat="1" applyFont="1"/>
    <xf numFmtId="1" fontId="13" fillId="0" borderId="0" xfId="0" applyNumberFormat="1" applyFont="1">
      <alignment vertical="center"/>
    </xf>
    <xf numFmtId="0" fontId="7" fillId="0" borderId="0" xfId="0" applyFont="1" applyAlignment="1">
      <alignment horizontal="right" vertical="center" wrapText="1"/>
    </xf>
    <xf numFmtId="1" fontId="15" fillId="0" borderId="0" xfId="0" applyNumberFormat="1" applyFont="1">
      <alignment vertical="center"/>
    </xf>
    <xf numFmtId="14" fontId="0" fillId="0" borderId="0" xfId="0" applyNumberFormat="1">
      <alignment vertical="center"/>
    </xf>
    <xf numFmtId="2" fontId="16" fillId="0" borderId="0" xfId="0" applyNumberFormat="1" applyFont="1">
      <alignment vertical="center"/>
    </xf>
    <xf numFmtId="2" fontId="17" fillId="0" borderId="0" xfId="0" applyNumberFormat="1" applyFont="1">
      <alignment vertical="center"/>
    </xf>
    <xf numFmtId="0" fontId="18" fillId="0" borderId="0" xfId="0" applyFont="1">
      <alignment vertical="center"/>
    </xf>
    <xf numFmtId="0" fontId="13" fillId="0" borderId="0" xfId="0" applyFont="1" applyAlignment="1">
      <alignment horizontal="left" vertical="center"/>
    </xf>
    <xf numFmtId="0" fontId="0" fillId="4" borderId="0" xfId="0" applyFill="1">
      <alignment vertical="center"/>
    </xf>
    <xf numFmtId="0" fontId="0" fillId="5" borderId="0" xfId="0" applyFill="1">
      <alignment vertical="center"/>
    </xf>
    <xf numFmtId="0" fontId="0" fillId="3" borderId="0" xfId="0" applyFill="1" applyAlignment="1">
      <alignment horizontal="right" vertical="center"/>
    </xf>
    <xf numFmtId="0" fontId="0" fillId="3" borderId="0" xfId="0" applyFill="1">
      <alignment vertical="center"/>
    </xf>
    <xf numFmtId="0" fontId="8" fillId="3" borderId="0" xfId="0" applyFont="1" applyFill="1">
      <alignment vertical="center"/>
    </xf>
    <xf numFmtId="0" fontId="0" fillId="6" borderId="0" xfId="0" applyFill="1">
      <alignment vertical="center"/>
    </xf>
    <xf numFmtId="10" fontId="0" fillId="0" borderId="0" xfId="1" applyNumberFormat="1" applyFont="1">
      <alignment vertical="center"/>
    </xf>
    <xf numFmtId="0" fontId="14" fillId="0" borderId="0" xfId="0" applyFont="1">
      <alignment vertical="center"/>
    </xf>
    <xf numFmtId="1" fontId="14" fillId="0" borderId="0" xfId="0" applyNumberFormat="1" applyFont="1">
      <alignment vertical="center"/>
    </xf>
    <xf numFmtId="0" fontId="0" fillId="0" borderId="0" xfId="0" applyAlignment="1">
      <alignment horizontal="right" vertical="center"/>
    </xf>
    <xf numFmtId="0" fontId="19" fillId="0" borderId="0" xfId="0" applyFont="1" applyAlignment="1">
      <alignment horizontal="right" vertical="center"/>
    </xf>
    <xf numFmtId="0" fontId="19" fillId="0" borderId="0" xfId="0" applyFont="1">
      <alignment vertical="center"/>
    </xf>
    <xf numFmtId="0" fontId="20" fillId="0" borderId="0" xfId="0" applyFont="1">
      <alignment vertical="center"/>
    </xf>
    <xf numFmtId="164" fontId="0" fillId="0" borderId="0" xfId="0" applyNumberFormat="1">
      <alignment vertical="center"/>
    </xf>
    <xf numFmtId="0" fontId="21" fillId="0" borderId="0" xfId="0" applyFont="1">
      <alignment vertical="center"/>
    </xf>
    <xf numFmtId="0" fontId="0" fillId="0" borderId="1" xfId="0" applyBorder="1" applyAlignment="1">
      <alignment vertical="center" wrapText="1"/>
    </xf>
    <xf numFmtId="0" fontId="0" fillId="7" borderId="0" xfId="0" applyFill="1">
      <alignment vertical="center"/>
    </xf>
    <xf numFmtId="0" fontId="22" fillId="0" borderId="0" xfId="0" applyFont="1">
      <alignment vertical="center"/>
    </xf>
    <xf numFmtId="0" fontId="0" fillId="8" borderId="0" xfId="0" applyFill="1">
      <alignment vertical="center"/>
    </xf>
    <xf numFmtId="0" fontId="8" fillId="7" borderId="0" xfId="0" applyFont="1" applyFill="1">
      <alignment vertical="center"/>
    </xf>
    <xf numFmtId="0" fontId="23" fillId="0" borderId="0" xfId="0" applyFont="1">
      <alignment vertical="center"/>
    </xf>
    <xf numFmtId="0" fontId="24" fillId="0" borderId="0" xfId="0" applyFont="1">
      <alignment vertical="center"/>
    </xf>
    <xf numFmtId="0" fontId="0" fillId="0" borderId="1" xfId="0" applyBorder="1">
      <alignment vertical="center"/>
    </xf>
    <xf numFmtId="0" fontId="0" fillId="5" borderId="1" xfId="0" applyFill="1" applyBorder="1">
      <alignment vertical="center"/>
    </xf>
    <xf numFmtId="0" fontId="0" fillId="0" borderId="0" xfId="0" applyAlignment="1"/>
    <xf numFmtId="0" fontId="3" fillId="0" borderId="0" xfId="0" applyFont="1">
      <alignment vertical="center"/>
    </xf>
    <xf numFmtId="1" fontId="26" fillId="0" borderId="0" xfId="0" applyNumberFormat="1" applyFont="1">
      <alignment vertical="center"/>
    </xf>
    <xf numFmtId="0" fontId="3" fillId="0" borderId="0" xfId="0" applyFont="1" applyAlignment="1">
      <alignment horizontal="right" vertical="center"/>
    </xf>
    <xf numFmtId="2" fontId="0" fillId="0" borderId="0" xfId="0" applyNumberFormat="1" applyAlignment="1">
      <alignment horizontal="right" vertical="center"/>
    </xf>
    <xf numFmtId="14" fontId="6" fillId="0" borderId="0" xfId="0" applyNumberFormat="1" applyFont="1">
      <alignment vertical="center"/>
    </xf>
    <xf numFmtId="1" fontId="0" fillId="2" borderId="0" xfId="0" applyNumberFormat="1" applyFill="1">
      <alignment vertical="center"/>
    </xf>
    <xf numFmtId="14" fontId="21" fillId="7" borderId="0" xfId="0" applyNumberFormat="1" applyFont="1" applyFill="1">
      <alignment vertical="center"/>
    </xf>
    <xf numFmtId="14" fontId="0" fillId="0" borderId="0" xfId="0" applyNumberFormat="1" applyAlignment="1">
      <alignment horizontal="right" vertical="center"/>
    </xf>
    <xf numFmtId="0" fontId="21" fillId="0" borderId="0" xfId="0" applyFont="1" applyAlignment="1">
      <alignment horizontal="right" vertical="center"/>
    </xf>
    <xf numFmtId="16" fontId="0" fillId="0" borderId="0" xfId="0" applyNumberFormat="1">
      <alignment vertical="center"/>
    </xf>
    <xf numFmtId="14" fontId="0" fillId="0" borderId="2" xfId="0" applyNumberFormat="1" applyBorder="1">
      <alignment vertical="center"/>
    </xf>
    <xf numFmtId="0" fontId="0" fillId="9" borderId="1" xfId="0" applyFill="1" applyBorder="1">
      <alignment vertical="center"/>
    </xf>
    <xf numFmtId="0" fontId="0" fillId="10" borderId="0" xfId="0" applyFill="1">
      <alignment vertical="center"/>
    </xf>
    <xf numFmtId="0" fontId="0" fillId="2" borderId="1" xfId="0" applyFill="1" applyBorder="1">
      <alignment vertical="center"/>
    </xf>
    <xf numFmtId="0" fontId="0" fillId="0" borderId="0" xfId="0" applyAlignment="1">
      <alignment vertical="center" wrapText="1"/>
    </xf>
    <xf numFmtId="16" fontId="0" fillId="0" borderId="1" xfId="0" applyNumberFormat="1" applyBorder="1">
      <alignment vertical="center"/>
    </xf>
    <xf numFmtId="0" fontId="6" fillId="11" borderId="1" xfId="0" applyFont="1" applyFill="1" applyBorder="1">
      <alignment vertical="center"/>
    </xf>
    <xf numFmtId="0" fontId="27" fillId="0" borderId="0" xfId="0" applyFont="1">
      <alignment vertical="center"/>
    </xf>
    <xf numFmtId="0" fontId="21" fillId="0" borderId="0" xfId="0" applyFont="1" applyAlignment="1"/>
    <xf numFmtId="0" fontId="21" fillId="0" borderId="0" xfId="0" applyFont="1" applyAlignment="1">
      <alignment horizontal="center"/>
    </xf>
    <xf numFmtId="0" fontId="21" fillId="0" borderId="0" xfId="0" applyFont="1" applyAlignment="1">
      <alignment horizontal="center" vertical="center"/>
    </xf>
    <xf numFmtId="0" fontId="0" fillId="0" borderId="5" xfId="0" applyBorder="1">
      <alignment vertical="center"/>
    </xf>
    <xf numFmtId="14" fontId="0" fillId="0" borderId="1" xfId="0" applyNumberFormat="1" applyBorder="1">
      <alignment vertical="center"/>
    </xf>
    <xf numFmtId="0" fontId="21" fillId="0" borderId="1" xfId="0" applyFont="1" applyBorder="1">
      <alignment vertical="center"/>
    </xf>
    <xf numFmtId="14" fontId="0" fillId="0" borderId="1" xfId="0" applyNumberFormat="1" applyBorder="1" applyAlignment="1">
      <alignment horizontal="left" vertical="center"/>
    </xf>
    <xf numFmtId="17" fontId="0" fillId="0" borderId="0" xfId="0" applyNumberFormat="1">
      <alignment vertical="center"/>
    </xf>
    <xf numFmtId="0" fontId="0" fillId="3" borderId="1" xfId="0" applyFill="1" applyBorder="1">
      <alignment vertical="center"/>
    </xf>
    <xf numFmtId="165" fontId="0" fillId="0" borderId="0" xfId="0" applyNumberFormat="1">
      <alignment vertical="center"/>
    </xf>
    <xf numFmtId="165" fontId="0" fillId="5" borderId="0" xfId="0" applyNumberFormat="1" applyFill="1">
      <alignment vertical="center"/>
    </xf>
    <xf numFmtId="9" fontId="0" fillId="0" borderId="0" xfId="0" applyNumberFormat="1">
      <alignment vertical="center"/>
    </xf>
    <xf numFmtId="0" fontId="0" fillId="12" borderId="1" xfId="0" applyFill="1" applyBorder="1" applyAlignment="1">
      <alignment vertical="center" wrapText="1"/>
    </xf>
    <xf numFmtId="0" fontId="0" fillId="11" borderId="1" xfId="0" applyFill="1" applyBorder="1">
      <alignment vertical="center"/>
    </xf>
    <xf numFmtId="14" fontId="0" fillId="0" borderId="2" xfId="0" applyNumberFormat="1" applyBorder="1" applyAlignment="1">
      <alignment horizontal="right" vertical="center"/>
    </xf>
    <xf numFmtId="0" fontId="0" fillId="0" borderId="1" xfId="0" applyBorder="1" applyAlignment="1">
      <alignment horizontal="left" vertical="center" wrapText="1"/>
    </xf>
    <xf numFmtId="0" fontId="28" fillId="0" borderId="0" xfId="0" applyFont="1">
      <alignment vertical="center"/>
    </xf>
    <xf numFmtId="0" fontId="29" fillId="0" borderId="0" xfId="0" applyFont="1" applyAlignment="1">
      <alignment horizontal="left" vertical="center" wrapText="1" indent="1"/>
    </xf>
    <xf numFmtId="10" fontId="0" fillId="0" borderId="0" xfId="0" applyNumberFormat="1">
      <alignment vertical="center"/>
    </xf>
    <xf numFmtId="0" fontId="21" fillId="13" borderId="1" xfId="0" applyFont="1" applyFill="1" applyBorder="1">
      <alignment vertical="center"/>
    </xf>
    <xf numFmtId="0" fontId="0" fillId="13" borderId="1" xfId="0" applyFill="1" applyBorder="1">
      <alignment vertical="center"/>
    </xf>
    <xf numFmtId="0" fontId="0" fillId="3" borderId="1" xfId="0" applyFill="1" applyBorder="1" applyAlignment="1">
      <alignment vertical="center" wrapText="1"/>
    </xf>
    <xf numFmtId="10" fontId="0" fillId="0" borderId="0" xfId="1" applyNumberFormat="1" applyFont="1" applyBorder="1">
      <alignment vertical="center"/>
    </xf>
    <xf numFmtId="0" fontId="0" fillId="0" borderId="0" xfId="1" applyNumberFormat="1" applyFont="1" applyBorder="1">
      <alignment vertical="center"/>
    </xf>
    <xf numFmtId="0" fontId="21" fillId="0" borderId="14" xfId="0" applyFont="1" applyBorder="1">
      <alignment vertical="center"/>
    </xf>
    <xf numFmtId="0" fontId="0" fillId="0" borderId="14" xfId="0" applyBorder="1">
      <alignment vertical="center"/>
    </xf>
    <xf numFmtId="0" fontId="0" fillId="0" borderId="14" xfId="1" applyNumberFormat="1" applyFont="1" applyBorder="1">
      <alignment vertical="center"/>
    </xf>
    <xf numFmtId="1" fontId="0" fillId="0" borderId="14" xfId="1" applyNumberFormat="1" applyFont="1" applyBorder="1">
      <alignment vertical="center"/>
    </xf>
    <xf numFmtId="0" fontId="21" fillId="3" borderId="0" xfId="0" applyFont="1" applyFill="1">
      <alignment vertical="center"/>
    </xf>
    <xf numFmtId="0" fontId="30" fillId="0" borderId="0" xfId="0" applyFont="1">
      <alignment vertical="center"/>
    </xf>
    <xf numFmtId="1" fontId="0" fillId="0" borderId="0" xfId="1" applyNumberFormat="1" applyFont="1" applyBorder="1">
      <alignment vertical="center"/>
    </xf>
    <xf numFmtId="14" fontId="0" fillId="13" borderId="1" xfId="0" applyNumberFormat="1" applyFill="1" applyBorder="1">
      <alignment vertical="center"/>
    </xf>
    <xf numFmtId="14" fontId="0" fillId="10" borderId="1" xfId="0" applyNumberFormat="1" applyFill="1" applyBorder="1">
      <alignment vertical="center"/>
    </xf>
    <xf numFmtId="0" fontId="0" fillId="0" borderId="1" xfId="0" applyBorder="1" applyAlignment="1">
      <alignment horizontal="center" vertical="center" wrapText="1"/>
    </xf>
    <xf numFmtId="0" fontId="0" fillId="0" borderId="4" xfId="0" applyBorder="1">
      <alignment vertical="center"/>
    </xf>
    <xf numFmtId="8" fontId="0" fillId="0" borderId="0" xfId="0" applyNumberFormat="1">
      <alignment vertical="center"/>
    </xf>
    <xf numFmtId="0" fontId="0" fillId="3" borderId="1" xfId="0" applyFill="1" applyBorder="1" applyAlignment="1">
      <alignment horizontal="left" vertical="center"/>
    </xf>
    <xf numFmtId="0" fontId="0" fillId="0" borderId="15" xfId="0" applyBorder="1">
      <alignment vertical="center"/>
    </xf>
    <xf numFmtId="18" fontId="0" fillId="0" borderId="1" xfId="0" applyNumberFormat="1" applyBorder="1" applyAlignment="1">
      <alignment horizontal="center" vertical="center" wrapText="1"/>
    </xf>
    <xf numFmtId="0" fontId="0" fillId="0" borderId="1" xfId="0" applyBorder="1" applyAlignment="1">
      <alignment horizontal="left" vertical="center"/>
    </xf>
    <xf numFmtId="0" fontId="0" fillId="0" borderId="6" xfId="0" applyBorder="1">
      <alignment vertical="center"/>
    </xf>
    <xf numFmtId="0" fontId="0" fillId="13" borderId="0" xfId="0" applyFill="1">
      <alignment vertical="center"/>
    </xf>
    <xf numFmtId="0" fontId="21" fillId="0" borderId="17" xfId="0" applyFont="1" applyBorder="1">
      <alignment vertical="center"/>
    </xf>
    <xf numFmtId="0" fontId="0" fillId="0" borderId="18" xfId="0" applyBorder="1">
      <alignment vertical="center"/>
    </xf>
    <xf numFmtId="0" fontId="0" fillId="0" borderId="19" xfId="0" applyBorder="1">
      <alignment vertical="center"/>
    </xf>
    <xf numFmtId="0" fontId="21" fillId="0" borderId="20" xfId="0" applyFont="1" applyBorder="1">
      <alignment vertical="center"/>
    </xf>
    <xf numFmtId="0" fontId="0" fillId="0" borderId="21" xfId="0" applyBorder="1">
      <alignment vertical="center"/>
    </xf>
    <xf numFmtId="0" fontId="0" fillId="0" borderId="21" xfId="0" applyBorder="1" applyAlignment="1">
      <alignment vertical="center" wrapText="1"/>
    </xf>
    <xf numFmtId="0" fontId="21" fillId="0" borderId="22" xfId="0" applyFont="1" applyBorder="1">
      <alignment vertical="center"/>
    </xf>
    <xf numFmtId="0" fontId="0" fillId="0" borderId="23" xfId="0" applyBorder="1" applyAlignment="1">
      <alignment vertical="center" wrapText="1"/>
    </xf>
    <xf numFmtId="0" fontId="0" fillId="14" borderId="0" xfId="0" applyFill="1">
      <alignment vertical="center"/>
    </xf>
    <xf numFmtId="0" fontId="21" fillId="0" borderId="0" xfId="0" applyFont="1" applyAlignment="1">
      <alignment vertical="center" wrapText="1"/>
    </xf>
    <xf numFmtId="0" fontId="0" fillId="0" borderId="1" xfId="0" applyBorder="1" applyAlignment="1">
      <alignment horizontal="center" vertical="center"/>
    </xf>
    <xf numFmtId="0" fontId="0" fillId="15" borderId="0" xfId="0" applyFill="1">
      <alignment vertical="center"/>
    </xf>
    <xf numFmtId="14" fontId="0" fillId="0" borderId="0" xfId="0" applyNumberFormat="1" applyAlignment="1">
      <alignment horizontal="left" vertical="center"/>
    </xf>
    <xf numFmtId="0" fontId="31" fillId="16" borderId="27" xfId="0" applyFont="1" applyFill="1" applyBorder="1" applyAlignment="1">
      <alignment horizontal="left" vertical="center" wrapText="1"/>
    </xf>
    <xf numFmtId="0" fontId="31" fillId="16" borderId="27" xfId="0" applyFont="1" applyFill="1" applyBorder="1" applyAlignment="1">
      <alignment vertical="center" wrapText="1"/>
    </xf>
    <xf numFmtId="0" fontId="31" fillId="16" borderId="28" xfId="0" applyFont="1" applyFill="1" applyBorder="1" applyAlignment="1">
      <alignment horizontal="left" vertical="center" wrapText="1"/>
    </xf>
    <xf numFmtId="0" fontId="31" fillId="16" borderId="28" xfId="0" applyFont="1" applyFill="1" applyBorder="1" applyAlignment="1">
      <alignment vertical="center" wrapText="1"/>
    </xf>
    <xf numFmtId="0" fontId="31" fillId="0" borderId="27" xfId="0" applyFont="1" applyBorder="1" applyAlignment="1">
      <alignment vertical="center" wrapText="1"/>
    </xf>
    <xf numFmtId="0" fontId="31" fillId="0" borderId="27" xfId="0" applyFont="1" applyBorder="1" applyAlignment="1">
      <alignment horizontal="left" vertical="center" wrapText="1"/>
    </xf>
    <xf numFmtId="0" fontId="0" fillId="0" borderId="27" xfId="0" applyBorder="1">
      <alignment vertical="center"/>
    </xf>
    <xf numFmtId="0" fontId="31" fillId="16" borderId="0" xfId="0" applyFont="1" applyFill="1" applyAlignment="1">
      <alignment vertical="center" wrapText="1"/>
    </xf>
    <xf numFmtId="0" fontId="31" fillId="16" borderId="0" xfId="0" applyFont="1" applyFill="1" applyAlignment="1">
      <alignment horizontal="left" vertical="center" wrapText="1"/>
    </xf>
    <xf numFmtId="14" fontId="0" fillId="7" borderId="1" xfId="0" applyNumberFormat="1" applyFill="1" applyBorder="1">
      <alignment vertical="center"/>
    </xf>
    <xf numFmtId="0" fontId="0" fillId="3" borderId="6" xfId="0" applyFill="1" applyBorder="1">
      <alignment vertical="center"/>
    </xf>
    <xf numFmtId="0" fontId="0" fillId="3" borderId="10" xfId="0" applyFill="1" applyBorder="1">
      <alignment vertical="center"/>
    </xf>
    <xf numFmtId="0" fontId="0" fillId="3" borderId="11" xfId="0" applyFill="1" applyBorder="1">
      <alignment vertical="center"/>
    </xf>
    <xf numFmtId="0" fontId="0" fillId="3" borderId="7" xfId="0" applyFill="1" applyBorder="1">
      <alignment vertical="center"/>
    </xf>
    <xf numFmtId="0" fontId="0" fillId="3" borderId="0" xfId="0" applyFill="1" applyAlignment="1">
      <alignment vertical="center" wrapText="1"/>
    </xf>
    <xf numFmtId="6" fontId="0" fillId="0" borderId="0" xfId="0" applyNumberFormat="1">
      <alignment vertical="center"/>
    </xf>
    <xf numFmtId="0" fontId="0" fillId="3" borderId="3" xfId="0" applyFill="1" applyBorder="1">
      <alignment vertical="center"/>
    </xf>
    <xf numFmtId="0" fontId="0" fillId="3" borderId="4" xfId="0" applyFill="1" applyBorder="1">
      <alignment vertical="center"/>
    </xf>
    <xf numFmtId="0" fontId="3" fillId="0" borderId="0" xfId="2" applyFont="1"/>
    <xf numFmtId="14" fontId="3" fillId="0" borderId="0" xfId="0" applyNumberFormat="1" applyFont="1">
      <alignment vertical="center"/>
    </xf>
    <xf numFmtId="0" fontId="0" fillId="9" borderId="1" xfId="0" quotePrefix="1" applyFill="1" applyBorder="1">
      <alignment vertical="center"/>
    </xf>
    <xf numFmtId="0" fontId="0" fillId="3" borderId="1" xfId="0" quotePrefix="1" applyFill="1" applyBorder="1">
      <alignment vertical="center"/>
    </xf>
    <xf numFmtId="0" fontId="32" fillId="0" borderId="15" xfId="0" applyFont="1" applyBorder="1">
      <alignment vertical="center"/>
    </xf>
    <xf numFmtId="0" fontId="32" fillId="3" borderId="1" xfId="0" applyFont="1" applyFill="1" applyBorder="1">
      <alignment vertical="center"/>
    </xf>
    <xf numFmtId="14" fontId="0" fillId="17" borderId="0" xfId="0" applyNumberFormat="1" applyFill="1">
      <alignment vertical="center"/>
    </xf>
    <xf numFmtId="0" fontId="21" fillId="14" borderId="0" xfId="0" applyFont="1" applyFill="1">
      <alignment vertical="center"/>
    </xf>
    <xf numFmtId="0" fontId="21" fillId="13" borderId="0" xfId="0" applyFont="1" applyFill="1">
      <alignment vertical="center"/>
    </xf>
    <xf numFmtId="14" fontId="0" fillId="18" borderId="0" xfId="0" applyNumberFormat="1" applyFill="1">
      <alignment vertical="center"/>
    </xf>
    <xf numFmtId="0" fontId="0" fillId="3" borderId="15" xfId="0" applyFill="1" applyBorder="1">
      <alignment vertical="center"/>
    </xf>
    <xf numFmtId="0" fontId="0" fillId="3" borderId="15" xfId="0" applyFill="1" applyBorder="1" applyAlignment="1">
      <alignment horizontal="left" vertical="center"/>
    </xf>
    <xf numFmtId="0" fontId="0" fillId="9" borderId="12" xfId="0" applyFill="1" applyBorder="1">
      <alignment vertical="center"/>
    </xf>
    <xf numFmtId="14" fontId="0" fillId="7" borderId="2" xfId="0" applyNumberFormat="1" applyFill="1" applyBorder="1">
      <alignment vertical="center"/>
    </xf>
    <xf numFmtId="0" fontId="0" fillId="0" borderId="12" xfId="0" applyBorder="1">
      <alignment vertical="center"/>
    </xf>
    <xf numFmtId="0" fontId="0" fillId="3" borderId="2" xfId="0" applyFill="1" applyBorder="1">
      <alignment vertical="center"/>
    </xf>
    <xf numFmtId="0" fontId="0" fillId="3" borderId="29" xfId="0" applyFill="1" applyBorder="1">
      <alignment vertical="center"/>
    </xf>
    <xf numFmtId="0" fontId="0" fillId="9" borderId="11" xfId="0" applyFill="1" applyBorder="1">
      <alignment vertical="center"/>
    </xf>
    <xf numFmtId="0" fontId="0" fillId="13" borderId="15" xfId="0" applyFill="1" applyBorder="1">
      <alignment vertical="center"/>
    </xf>
    <xf numFmtId="0" fontId="0" fillId="0" borderId="23" xfId="0" applyBorder="1">
      <alignment vertical="center"/>
    </xf>
    <xf numFmtId="1" fontId="0" fillId="0" borderId="19" xfId="0" applyNumberFormat="1" applyBorder="1">
      <alignment vertical="center"/>
    </xf>
    <xf numFmtId="14" fontId="0" fillId="14" borderId="0" xfId="0" applyNumberFormat="1" applyFill="1">
      <alignment vertical="center"/>
    </xf>
    <xf numFmtId="0" fontId="0" fillId="17" borderId="0" xfId="0" applyFill="1">
      <alignment vertical="center"/>
    </xf>
    <xf numFmtId="0" fontId="0" fillId="20" borderId="31" xfId="0" applyFill="1" applyBorder="1">
      <alignment vertical="center"/>
    </xf>
    <xf numFmtId="0" fontId="0" fillId="0" borderId="32" xfId="0" applyBorder="1">
      <alignment vertical="center"/>
    </xf>
    <xf numFmtId="0" fontId="0" fillId="5" borderId="17" xfId="0" applyFill="1" applyBorder="1">
      <alignment vertical="center"/>
    </xf>
    <xf numFmtId="0" fontId="0" fillId="5" borderId="20" xfId="0" applyFill="1" applyBorder="1">
      <alignment vertical="center"/>
    </xf>
    <xf numFmtId="0" fontId="0" fillId="5" borderId="22" xfId="0" applyFill="1" applyBorder="1">
      <alignment vertical="center"/>
    </xf>
    <xf numFmtId="0" fontId="0" fillId="9" borderId="8" xfId="0" applyFill="1" applyBorder="1">
      <alignment vertical="center"/>
    </xf>
    <xf numFmtId="0" fontId="0" fillId="9" borderId="9" xfId="0" applyFill="1" applyBorder="1">
      <alignment vertical="center"/>
    </xf>
    <xf numFmtId="14" fontId="0" fillId="9" borderId="0" xfId="0" applyNumberFormat="1" applyFill="1">
      <alignment vertical="center"/>
    </xf>
    <xf numFmtId="14" fontId="0" fillId="5" borderId="0" xfId="0" applyNumberFormat="1" applyFill="1">
      <alignment vertical="center"/>
    </xf>
    <xf numFmtId="0" fontId="0" fillId="21" borderId="0" xfId="0" applyFill="1">
      <alignment vertical="center"/>
    </xf>
    <xf numFmtId="14" fontId="2" fillId="5" borderId="0" xfId="0" applyNumberFormat="1" applyFont="1" applyFill="1">
      <alignment vertical="center"/>
    </xf>
    <xf numFmtId="14" fontId="2" fillId="0" borderId="0" xfId="0" applyNumberFormat="1" applyFont="1">
      <alignment vertical="center"/>
    </xf>
    <xf numFmtId="14" fontId="0" fillId="14" borderId="1" xfId="0" applyNumberFormat="1" applyFill="1" applyBorder="1">
      <alignment vertical="center"/>
    </xf>
    <xf numFmtId="0" fontId="0" fillId="14" borderId="1" xfId="0" applyFill="1" applyBorder="1">
      <alignment vertical="center"/>
    </xf>
    <xf numFmtId="14" fontId="21" fillId="0" borderId="0" xfId="0" applyNumberFormat="1" applyFont="1">
      <alignment vertical="center"/>
    </xf>
    <xf numFmtId="0" fontId="1" fillId="0" borderId="0" xfId="0" applyFont="1">
      <alignment vertical="center"/>
    </xf>
    <xf numFmtId="16" fontId="0" fillId="0" borderId="0" xfId="0" applyNumberFormat="1" applyAlignment="1">
      <alignment horizontal="right" vertical="center"/>
    </xf>
    <xf numFmtId="14" fontId="0" fillId="22" borderId="0" xfId="0" applyNumberFormat="1" applyFill="1">
      <alignment vertical="center"/>
    </xf>
    <xf numFmtId="0" fontId="0" fillId="4" borderId="1" xfId="0" applyFill="1" applyBorder="1">
      <alignment vertical="center"/>
    </xf>
    <xf numFmtId="0" fontId="0" fillId="3" borderId="10" xfId="0" applyFill="1" applyBorder="1" applyAlignment="1">
      <alignment horizontal="center" vertical="center"/>
    </xf>
    <xf numFmtId="0" fontId="0" fillId="19" borderId="0" xfId="0" applyFill="1">
      <alignment vertical="center"/>
    </xf>
    <xf numFmtId="0" fontId="0" fillId="19" borderId="15" xfId="0" applyFill="1" applyBorder="1">
      <alignment vertical="center"/>
    </xf>
    <xf numFmtId="0" fontId="0" fillId="19" borderId="1" xfId="0" applyFill="1" applyBorder="1">
      <alignment vertical="center"/>
    </xf>
    <xf numFmtId="0" fontId="0" fillId="3" borderId="9" xfId="0" applyFill="1" applyBorder="1">
      <alignment vertical="center"/>
    </xf>
    <xf numFmtId="0" fontId="0" fillId="0" borderId="0" xfId="0">
      <alignment vertical="center"/>
      <extLst>
        <ext xmlns:xfpb="http://schemas.microsoft.com/office/spreadsheetml/2022/featurepropertybag" uri="{C7286773-470A-42A8-94C5-96B5CB345126}">
          <xfpb:xfComplement i="0"/>
        </ext>
      </extLst>
    </xf>
    <xf numFmtId="0" fontId="0" fillId="3" borderId="30" xfId="0" applyFill="1" applyBorder="1">
      <alignment vertical="center"/>
    </xf>
    <xf numFmtId="0" fontId="0" fillId="24" borderId="1" xfId="0" applyFill="1" applyBorder="1">
      <alignment vertical="center"/>
    </xf>
    <xf numFmtId="0" fontId="0" fillId="23" borderId="1" xfId="0" applyFill="1" applyBorder="1">
      <alignment vertical="center"/>
    </xf>
    <xf numFmtId="14" fontId="21" fillId="25" borderId="0" xfId="0" applyNumberFormat="1" applyFont="1" applyFill="1">
      <alignment vertical="center"/>
    </xf>
    <xf numFmtId="0" fontId="0" fillId="0" borderId="2" xfId="0" applyBorder="1">
      <alignment vertical="center"/>
    </xf>
    <xf numFmtId="0" fontId="0" fillId="0" borderId="8" xfId="0" applyBorder="1">
      <alignment vertical="center"/>
    </xf>
    <xf numFmtId="0" fontId="32" fillId="0" borderId="8" xfId="0" applyFont="1" applyBorder="1">
      <alignment vertical="center"/>
    </xf>
    <xf numFmtId="0" fontId="0" fillId="19" borderId="2" xfId="0" applyFill="1" applyBorder="1">
      <alignment vertical="center"/>
    </xf>
    <xf numFmtId="0" fontId="0" fillId="19" borderId="3" xfId="0" applyFill="1" applyBorder="1" applyAlignment="1">
      <alignment horizontal="center" vertical="center"/>
    </xf>
    <xf numFmtId="0" fontId="0" fillId="19" borderId="3" xfId="0" applyFill="1" applyBorder="1">
      <alignment vertical="center"/>
    </xf>
    <xf numFmtId="0" fontId="32" fillId="19" borderId="3" xfId="0" applyFont="1" applyFill="1" applyBorder="1">
      <alignment vertical="center"/>
    </xf>
    <xf numFmtId="0" fontId="0" fillId="19" borderId="4" xfId="0" applyFill="1" applyBorder="1">
      <alignment vertical="center"/>
    </xf>
    <xf numFmtId="0" fontId="0" fillId="13" borderId="12" xfId="0" applyFill="1" applyBorder="1">
      <alignment vertical="center"/>
    </xf>
    <xf numFmtId="0" fontId="8" fillId="0" borderId="1" xfId="0" applyFont="1" applyBorder="1">
      <alignment vertical="center"/>
    </xf>
    <xf numFmtId="0" fontId="26" fillId="0" borderId="1" xfId="0" applyFont="1" applyBorder="1">
      <alignment vertical="center"/>
    </xf>
    <xf numFmtId="0" fontId="0" fillId="26" borderId="1" xfId="0" applyFill="1" applyBorder="1">
      <alignment vertical="center"/>
    </xf>
    <xf numFmtId="0" fontId="0" fillId="26" borderId="12" xfId="0" applyFill="1" applyBorder="1">
      <alignment vertical="center"/>
    </xf>
    <xf numFmtId="0" fontId="0" fillId="26" borderId="0" xfId="0" applyFill="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26" borderId="3" xfId="0" applyFill="1" applyBorder="1">
      <alignment vertical="center"/>
    </xf>
    <xf numFmtId="0" fontId="0" fillId="26" borderId="2" xfId="0" applyFill="1" applyBorder="1">
      <alignment vertical="center"/>
    </xf>
    <xf numFmtId="0" fontId="0" fillId="0" borderId="0" xfId="0" applyAlignment="1">
      <alignment horizontal="left" vertical="center"/>
    </xf>
    <xf numFmtId="0" fontId="0" fillId="0" borderId="0" xfId="0" quotePrefix="1">
      <alignment vertical="center"/>
    </xf>
    <xf numFmtId="0" fontId="8" fillId="13" borderId="12" xfId="0" applyFont="1" applyFill="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wrapText="1"/>
    </xf>
    <xf numFmtId="0" fontId="0" fillId="0" borderId="2" xfId="0" applyBorder="1" applyAlignment="1">
      <alignment horizontal="center" vertical="center"/>
    </xf>
    <xf numFmtId="0" fontId="0" fillId="0" borderId="4" xfId="0"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0" fillId="3" borderId="16" xfId="0" applyFill="1" applyBorder="1" applyAlignment="1">
      <alignment horizontal="center" vertical="center"/>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0" fillId="3" borderId="2" xfId="0" applyFill="1" applyBorder="1" applyAlignment="1">
      <alignment horizontal="center" vertical="center"/>
    </xf>
    <xf numFmtId="0" fontId="0" fillId="3" borderId="4" xfId="0" applyFill="1" applyBorder="1" applyAlignment="1">
      <alignment horizontal="center" vertical="center"/>
    </xf>
    <xf numFmtId="0" fontId="0" fillId="3" borderId="1" xfId="0" applyFill="1" applyBorder="1" applyAlignment="1">
      <alignment horizontal="center" vertical="center"/>
    </xf>
    <xf numFmtId="0" fontId="0" fillId="3" borderId="3"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3" xfId="0"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5" borderId="2" xfId="0" applyFill="1" applyBorder="1" applyAlignment="1">
      <alignment horizontal="center" vertical="center"/>
    </xf>
    <xf numFmtId="0" fontId="0" fillId="5" borderId="4" xfId="0" applyFill="1" applyBorder="1" applyAlignment="1">
      <alignment horizontal="center" vertical="center"/>
    </xf>
    <xf numFmtId="0" fontId="0" fillId="19" borderId="2" xfId="0" applyFill="1" applyBorder="1" applyAlignment="1">
      <alignment horizontal="center" vertical="center"/>
    </xf>
    <xf numFmtId="0" fontId="0" fillId="19" borderId="4" xfId="0" applyFill="1" applyBorder="1" applyAlignment="1">
      <alignment horizontal="center" vertical="center"/>
    </xf>
    <xf numFmtId="0" fontId="0" fillId="0" borderId="0" xfId="0" applyAlignment="1">
      <alignment horizontal="left"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cellXfs>
  <cellStyles count="3">
    <cellStyle name="Normal" xfId="0" builtinId="0"/>
    <cellStyle name="Normal 2" xfId="2" xr:uid="{00000000-0005-0000-0000-000002000000}"/>
    <cellStyle name="Percent" xfId="1" builtinId="5"/>
  </cellStyles>
  <dxfs count="6">
    <dxf>
      <fill>
        <patternFill>
          <bgColor theme="3" tint="0.79998168889431442"/>
        </patternFill>
      </fill>
    </dxf>
    <dxf>
      <fill>
        <patternFill>
          <bgColor theme="5" tint="0.59996337778862885"/>
        </patternFill>
      </fill>
    </dxf>
    <dxf>
      <fill>
        <patternFill>
          <bgColor theme="3" tint="0.79998168889431442"/>
        </patternFill>
      </fill>
    </dxf>
    <dxf>
      <fill>
        <patternFill>
          <bgColor theme="5" tint="0.59996337778862885"/>
        </patternFill>
      </fill>
    </dxf>
    <dxf>
      <fill>
        <patternFill>
          <bgColor theme="4" tint="0.59996337778862885"/>
        </patternFill>
      </fill>
    </dxf>
    <dxf>
      <fill>
        <patternFill>
          <bgColor theme="5" tint="0.59996337778862885"/>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28575" cap="rnd">
              <a:solidFill>
                <a:schemeClr val="accent1"/>
              </a:solidFill>
              <a:round/>
            </a:ln>
            <a:effectLst/>
          </c:spPr>
          <c:marker>
            <c:symbol val="none"/>
          </c:marker>
          <c:cat>
            <c:strRef>
              <c:f>chart!$A$1:$A$67</c:f>
              <c:strCache>
                <c:ptCount val="67"/>
                <c:pt idx="0">
                  <c:v>10/09/2023</c:v>
                </c:pt>
                <c:pt idx="1">
                  <c:v>17/09/2023</c:v>
                </c:pt>
                <c:pt idx="2">
                  <c:v>24/09/2023</c:v>
                </c:pt>
                <c:pt idx="3">
                  <c:v>01/10/2023</c:v>
                </c:pt>
                <c:pt idx="4">
                  <c:v>08/10/2023</c:v>
                </c:pt>
                <c:pt idx="5">
                  <c:v>15/10/2023</c:v>
                </c:pt>
                <c:pt idx="6">
                  <c:v>22/10/2023</c:v>
                </c:pt>
                <c:pt idx="7">
                  <c:v>29/10/2023</c:v>
                </c:pt>
                <c:pt idx="8">
                  <c:v>05/11/2023</c:v>
                </c:pt>
                <c:pt idx="9">
                  <c:v>12/11/2023</c:v>
                </c:pt>
                <c:pt idx="10">
                  <c:v>19/11/2023</c:v>
                </c:pt>
                <c:pt idx="11">
                  <c:v>26/11/2023</c:v>
                </c:pt>
                <c:pt idx="12">
                  <c:v>03/12/2023</c:v>
                </c:pt>
                <c:pt idx="13">
                  <c:v>10/12/2023</c:v>
                </c:pt>
                <c:pt idx="14">
                  <c:v>Laura Party</c:v>
                </c:pt>
                <c:pt idx="15">
                  <c:v>24/12/2023</c:v>
                </c:pt>
                <c:pt idx="16">
                  <c:v>31/12/2023</c:v>
                </c:pt>
                <c:pt idx="17">
                  <c:v>07/01/2024</c:v>
                </c:pt>
                <c:pt idx="18">
                  <c:v>14/01/2024</c:v>
                </c:pt>
                <c:pt idx="19">
                  <c:v>21/01/2024</c:v>
                </c:pt>
                <c:pt idx="20">
                  <c:v>28/01/2024</c:v>
                </c:pt>
                <c:pt idx="21">
                  <c:v>04/02/2024</c:v>
                </c:pt>
                <c:pt idx="22">
                  <c:v>11/02/2024</c:v>
                </c:pt>
                <c:pt idx="23">
                  <c:v>18/02/2024</c:v>
                </c:pt>
                <c:pt idx="24">
                  <c:v>25/02/2024</c:v>
                </c:pt>
                <c:pt idx="25">
                  <c:v>03/03/2024</c:v>
                </c:pt>
                <c:pt idx="26">
                  <c:v>10/03/2024</c:v>
                </c:pt>
                <c:pt idx="27">
                  <c:v>17/03/2024</c:v>
                </c:pt>
                <c:pt idx="28">
                  <c:v>24/03/2024</c:v>
                </c:pt>
                <c:pt idx="29">
                  <c:v>31/03/2024</c:v>
                </c:pt>
                <c:pt idx="30">
                  <c:v>07/04/2024</c:v>
                </c:pt>
                <c:pt idx="31">
                  <c:v>14/04/2024</c:v>
                </c:pt>
                <c:pt idx="32">
                  <c:v>21/04/2024</c:v>
                </c:pt>
                <c:pt idx="33">
                  <c:v>28/04/2024</c:v>
                </c:pt>
                <c:pt idx="34">
                  <c:v>05/05/2024</c:v>
                </c:pt>
                <c:pt idx="35">
                  <c:v>12/05/2024</c:v>
                </c:pt>
                <c:pt idx="36">
                  <c:v>19/05/2024</c:v>
                </c:pt>
                <c:pt idx="37">
                  <c:v>26/05/2024</c:v>
                </c:pt>
                <c:pt idx="38">
                  <c:v>02/06/2024</c:v>
                </c:pt>
                <c:pt idx="39">
                  <c:v>09/06/2024</c:v>
                </c:pt>
                <c:pt idx="40">
                  <c:v>16/06/2024</c:v>
                </c:pt>
                <c:pt idx="41">
                  <c:v>23/06/2024</c:v>
                </c:pt>
                <c:pt idx="42">
                  <c:v>30/06/2024</c:v>
                </c:pt>
                <c:pt idx="43">
                  <c:v>07/07/2024</c:v>
                </c:pt>
                <c:pt idx="44">
                  <c:v>14/07/2024</c:v>
                </c:pt>
                <c:pt idx="45">
                  <c:v>21/07/2024</c:v>
                </c:pt>
                <c:pt idx="46">
                  <c:v>28/07/2024</c:v>
                </c:pt>
                <c:pt idx="47">
                  <c:v>04/08/2024</c:v>
                </c:pt>
                <c:pt idx="48">
                  <c:v>11/08/2024</c:v>
                </c:pt>
                <c:pt idx="49">
                  <c:v>18/08/2024</c:v>
                </c:pt>
                <c:pt idx="50">
                  <c:v>25/08/2024</c:v>
                </c:pt>
                <c:pt idx="51">
                  <c:v>01/09/2024</c:v>
                </c:pt>
                <c:pt idx="52">
                  <c:v>08/09/2024</c:v>
                </c:pt>
                <c:pt idx="53">
                  <c:v>15/09/2024</c:v>
                </c:pt>
                <c:pt idx="54">
                  <c:v>22/09/2024</c:v>
                </c:pt>
                <c:pt idx="55">
                  <c:v>29/09/2024</c:v>
                </c:pt>
                <c:pt idx="56">
                  <c:v>06/10/2024</c:v>
                </c:pt>
                <c:pt idx="57">
                  <c:v>13/10/2024</c:v>
                </c:pt>
                <c:pt idx="58">
                  <c:v>20/10/2024</c:v>
                </c:pt>
                <c:pt idx="59">
                  <c:v>27/10/2024</c:v>
                </c:pt>
                <c:pt idx="60">
                  <c:v>03/11/2024</c:v>
                </c:pt>
                <c:pt idx="61">
                  <c:v>10/11/2024</c:v>
                </c:pt>
                <c:pt idx="62">
                  <c:v>17/11/2024</c:v>
                </c:pt>
                <c:pt idx="63">
                  <c:v>24/11/2024</c:v>
                </c:pt>
                <c:pt idx="64">
                  <c:v>01/12/2024</c:v>
                </c:pt>
                <c:pt idx="65">
                  <c:v>08/12/2024</c:v>
                </c:pt>
                <c:pt idx="66">
                  <c:v>15/12/2024</c:v>
                </c:pt>
              </c:strCache>
            </c:strRef>
          </c:cat>
          <c:val>
            <c:numRef>
              <c:f>chart!$B$1:$B$67</c:f>
              <c:numCache>
                <c:formatCode>General</c:formatCode>
                <c:ptCount val="67"/>
                <c:pt idx="0">
                  <c:v>68.599999999999994</c:v>
                </c:pt>
                <c:pt idx="1">
                  <c:v>66.400000000000006</c:v>
                </c:pt>
                <c:pt idx="2">
                  <c:v>65.5</c:v>
                </c:pt>
                <c:pt idx="3">
                  <c:v>65.900000000000006</c:v>
                </c:pt>
                <c:pt idx="4">
                  <c:v>65.7</c:v>
                </c:pt>
                <c:pt idx="5">
                  <c:v>65.3</c:v>
                </c:pt>
                <c:pt idx="6">
                  <c:v>64.3</c:v>
                </c:pt>
                <c:pt idx="7">
                  <c:v>63.6</c:v>
                </c:pt>
                <c:pt idx="8">
                  <c:v>63</c:v>
                </c:pt>
                <c:pt idx="9">
                  <c:v>62.9</c:v>
                </c:pt>
                <c:pt idx="10">
                  <c:v>62.3</c:v>
                </c:pt>
                <c:pt idx="11">
                  <c:v>61.3</c:v>
                </c:pt>
                <c:pt idx="12">
                  <c:v>60.6</c:v>
                </c:pt>
                <c:pt idx="13">
                  <c:v>61.2</c:v>
                </c:pt>
                <c:pt idx="14">
                  <c:v>61.5</c:v>
                </c:pt>
                <c:pt idx="15">
                  <c:v>60.2</c:v>
                </c:pt>
                <c:pt idx="16">
                  <c:v>59.2</c:v>
                </c:pt>
                <c:pt idx="17">
                  <c:v>60</c:v>
                </c:pt>
                <c:pt idx="18">
                  <c:v>60</c:v>
                </c:pt>
                <c:pt idx="19">
                  <c:v>60.3</c:v>
                </c:pt>
                <c:pt idx="20">
                  <c:v>59.9</c:v>
                </c:pt>
                <c:pt idx="21">
                  <c:v>59.8</c:v>
                </c:pt>
                <c:pt idx="22">
                  <c:v>60.1</c:v>
                </c:pt>
                <c:pt idx="23">
                  <c:v>60.5</c:v>
                </c:pt>
                <c:pt idx="24">
                  <c:v>58.85</c:v>
                </c:pt>
                <c:pt idx="25">
                  <c:v>58.4</c:v>
                </c:pt>
                <c:pt idx="26">
                  <c:v>58.5</c:v>
                </c:pt>
                <c:pt idx="27">
                  <c:v>59.05</c:v>
                </c:pt>
                <c:pt idx="28">
                  <c:v>59</c:v>
                </c:pt>
                <c:pt idx="29">
                  <c:v>59.5</c:v>
                </c:pt>
                <c:pt idx="30">
                  <c:v>59.3</c:v>
                </c:pt>
                <c:pt idx="31">
                  <c:v>60</c:v>
                </c:pt>
                <c:pt idx="32">
                  <c:v>59.75</c:v>
                </c:pt>
                <c:pt idx="33">
                  <c:v>60.05</c:v>
                </c:pt>
                <c:pt idx="34">
                  <c:v>60.5</c:v>
                </c:pt>
                <c:pt idx="35">
                  <c:v>60.95</c:v>
                </c:pt>
                <c:pt idx="36">
                  <c:v>59.75</c:v>
                </c:pt>
                <c:pt idx="37">
                  <c:v>60.45</c:v>
                </c:pt>
                <c:pt idx="38">
                  <c:v>61.35</c:v>
                </c:pt>
                <c:pt idx="39">
                  <c:v>60.95</c:v>
                </c:pt>
                <c:pt idx="40">
                  <c:v>62.5</c:v>
                </c:pt>
                <c:pt idx="41">
                  <c:v>61.5</c:v>
                </c:pt>
                <c:pt idx="42">
                  <c:v>61</c:v>
                </c:pt>
                <c:pt idx="43">
                  <c:v>60.2</c:v>
                </c:pt>
                <c:pt idx="44">
                  <c:v>61.25</c:v>
                </c:pt>
                <c:pt idx="45">
                  <c:v>61.25</c:v>
                </c:pt>
                <c:pt idx="46">
                  <c:v>61.25</c:v>
                </c:pt>
                <c:pt idx="47">
                  <c:v>60.7</c:v>
                </c:pt>
                <c:pt idx="48">
                  <c:v>61.2</c:v>
                </c:pt>
                <c:pt idx="49">
                  <c:v>61</c:v>
                </c:pt>
                <c:pt idx="50">
                  <c:v>61</c:v>
                </c:pt>
                <c:pt idx="51">
                  <c:v>61</c:v>
                </c:pt>
                <c:pt idx="52">
                  <c:v>60.2</c:v>
                </c:pt>
                <c:pt idx="53">
                  <c:v>61.3</c:v>
                </c:pt>
                <c:pt idx="54">
                  <c:v>61.4</c:v>
                </c:pt>
                <c:pt idx="55">
                  <c:v>60.6</c:v>
                </c:pt>
                <c:pt idx="56">
                  <c:v>61.7</c:v>
                </c:pt>
                <c:pt idx="57">
                  <c:v>60.4</c:v>
                </c:pt>
                <c:pt idx="58">
                  <c:v>60.85</c:v>
                </c:pt>
                <c:pt idx="59">
                  <c:v>61.8</c:v>
                </c:pt>
                <c:pt idx="60">
                  <c:v>61.25</c:v>
                </c:pt>
                <c:pt idx="61">
                  <c:v>62.25</c:v>
                </c:pt>
                <c:pt idx="62">
                  <c:v>61.45</c:v>
                </c:pt>
                <c:pt idx="63">
                  <c:v>61.95</c:v>
                </c:pt>
                <c:pt idx="64">
                  <c:v>61.45</c:v>
                </c:pt>
                <c:pt idx="65">
                  <c:v>62.75</c:v>
                </c:pt>
                <c:pt idx="66">
                  <c:v>62.5</c:v>
                </c:pt>
              </c:numCache>
            </c:numRef>
          </c:val>
          <c:smooth val="0"/>
          <c:extLst>
            <c:ext xmlns:c16="http://schemas.microsoft.com/office/drawing/2014/chart" uri="{C3380CC4-5D6E-409C-BE32-E72D297353CC}">
              <c16:uniqueId val="{00000029-6627-4D34-9EFF-A775BA0A7A30}"/>
            </c:ext>
          </c:extLst>
        </c:ser>
        <c:dLbls>
          <c:showLegendKey val="0"/>
          <c:showVal val="0"/>
          <c:showCatName val="0"/>
          <c:showSerName val="0"/>
          <c:showPercent val="0"/>
          <c:showBubbleSize val="0"/>
        </c:dLbls>
        <c:smooth val="0"/>
        <c:axId val="1090766960"/>
        <c:axId val="1261715584"/>
      </c:lineChart>
      <c:catAx>
        <c:axId val="109076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715584"/>
        <c:crosses val="autoZero"/>
        <c:auto val="1"/>
        <c:lblAlgn val="ctr"/>
        <c:lblOffset val="100"/>
        <c:noMultiLvlLbl val="0"/>
      </c:catAx>
      <c:valAx>
        <c:axId val="1261715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766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152400</xdr:colOff>
      <xdr:row>0</xdr:row>
      <xdr:rowOff>182245</xdr:rowOff>
    </xdr:from>
    <xdr:to>
      <xdr:col>31</xdr:col>
      <xdr:colOff>400050</xdr:colOff>
      <xdr:row>35</xdr:row>
      <xdr:rowOff>163195</xdr:rowOff>
    </xdr:to>
    <xdr:graphicFrame macro="">
      <xdr:nvGraphicFramePr>
        <xdr:cNvPr id="2" name="Chart 1">
          <a:extLst>
            <a:ext uri="{FF2B5EF4-FFF2-40B4-BE49-F238E27FC236}">
              <a16:creationId xmlns:a16="http://schemas.microsoft.com/office/drawing/2014/main" id="{CE4A01D7-FBCD-62A9-7634-CE6A4B5CB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trading%20summar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profit"/>
      <sheetName val="打新中奖"/>
      <sheetName val="no_future"/>
      <sheetName val="option"/>
      <sheetName val="detail"/>
      <sheetName val="return chart"/>
    </sheetNames>
    <sheetDataSet>
      <sheetData sheetId="0"/>
      <sheetData sheetId="1"/>
      <sheetData sheetId="2"/>
      <sheetData sheetId="3"/>
      <sheetData sheetId="4"/>
      <sheetData sheetId="5"/>
      <sheetData sheetId="6"/>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Zheng, Zhuolin" id="{29189F69-2335-48BB-8780-220B2AE719A7}" userId="S::Zhuolin.Zheng@msci.com::8b82f445-9fd3-4c91-a3ba-81177a63b610"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 dT="2022-03-02T11:15:19.76" personId="{29189F69-2335-48BB-8780-220B2AE719A7}" id="{D3EABFDA-E848-44D3-AEFC-5F7835E06DC5}">
    <text>bath</text>
  </threadedComment>
  <threadedComment ref="C16" dT="2022-03-02T11:15:25.28" personId="{29189F69-2335-48BB-8780-220B2AE719A7}" id="{FBC5EE47-8DBD-4C6A-906C-528AE149132C}">
    <text>bath</text>
  </threadedComment>
  <threadedComment ref="G16" dT="2022-03-02T11:16:10.63" personId="{29189F69-2335-48BB-8780-220B2AE719A7}" id="{A7786A0C-EAC4-4894-9516-E09689A7DD11}">
    <text>back to London..</text>
  </threadedComment>
  <threadedComment ref="F22" dT="2022-04-07T08:20:30.59" personId="{29189F69-2335-48BB-8780-220B2AE719A7}" id="{89DCAAE9-74EE-4668-85A0-8D90D8FF6AD2}">
    <text>Peppa Pig &amp; Southampton</text>
  </threadedComment>
  <threadedComment ref="E44" dT="2022-10-25T12:56:33.37" personId="{29189F69-2335-48BB-8780-220B2AE719A7}" id="{33E621C8-608A-41CA-81DA-AA42C3B28E68}">
    <text>DPP birthday</text>
  </threadedComment>
  <threadedComment ref="G110" dT="2024-01-19T19:03:25.97" personId="{29189F69-2335-48BB-8780-220B2AE719A7}" id="{250A0796-3A80-4342-B025-A8FAC051CAC4}">
    <text>16.00</text>
  </threadedComment>
  <threadedComment ref="B113" dT="2024-01-30T14:30:24.76" personId="{29189F69-2335-48BB-8780-220B2AE719A7}" id="{E1DF5694-3E37-4BC6-80A1-9056A97FFF72}">
    <text>Riyan Birthday</text>
  </threadedComment>
  <threadedComment ref="B113" dT="2024-02-13T15:58:39.62" personId="{29189F69-2335-48BB-8780-220B2AE719A7}" id="{F5B8C0CD-596A-41EF-93E5-39D5500F5DB2}" parentId="{E1DF5694-3E37-4BC6-80A1-9056A97FFF72}">
    <text>Harrods Pics</text>
  </threadedComment>
  <threadedComment ref="B118" dT="2024-01-19T18:04:50.05" personId="{29189F69-2335-48BB-8780-220B2AE719A7}" id="{1D439781-724F-4354-AC67-5EE76DB56176}">
    <text>Flight 17.15</text>
  </threadedComment>
  <threadedComment ref="B119" dT="2024-01-29T10:02:44.24" personId="{29189F69-2335-48BB-8780-220B2AE719A7}" id="{88264D80-3216-4C99-AD7F-D681754030AB}">
    <text>Teddy Tennis Ends</text>
  </threadedComment>
  <threadedComment ref="B121" dT="2024-03-18T17:52:38.75" personId="{29189F69-2335-48BB-8780-220B2AE719A7}" id="{EAD7EFF4-4FAD-4F57-AAB3-4E929254D11C}">
    <text>Kew Garden</text>
  </threadedComment>
  <threadedComment ref="B122" dT="2023-11-27T17:13:25.01" personId="{29189F69-2335-48BB-8780-220B2AE719A7}" id="{FCB2042E-3CDD-46E7-834B-B08DC32BC72D}">
    <text>London Marathon</text>
  </threadedComment>
  <threadedComment ref="B126" dT="2024-03-18T17:55:10.30" personId="{29189F69-2335-48BB-8780-220B2AE719A7}" id="{81444F43-E27F-489E-9657-A207296F173C}">
    <text>BIRTHDAY PARTY!!!</text>
  </threadedComment>
  <threadedComment ref="B128" dT="2024-04-02T09:41:35.15" personId="{29189F69-2335-48BB-8780-220B2AE719A7}" id="{8065810A-B5D9-416B-8FCE-17C4983F412A}">
    <text>fly</text>
  </threadedComment>
  <threadedComment ref="F130" dT="2024-05-20T12:49:30.76" personId="{29189F69-2335-48BB-8780-220B2AE719A7}" id="{B502058B-D09A-4F62-96C8-155A7953626F}">
    <text>PH welcome afternoon</text>
  </threadedComment>
  <threadedComment ref="B134" dT="2024-03-14T11:57:34.50" personId="{29189F69-2335-48BB-8780-220B2AE719A7}" id="{DF2895A0-6AFA-4AE4-A59C-BF89BBAAB346}">
    <text>Driving test</text>
  </threadedComment>
  <threadedComment ref="B134" dT="2024-07-15T14:25:45.70" personId="{29189F69-2335-48BB-8780-220B2AE719A7}" id="{5AA92C85-7C88-4E92-B33F-9D2D4281A939}" parentId="{DF2895A0-6AFA-4AE4-A59C-BF89BBAAB346}">
    <text>PASSED!</text>
  </threadedComment>
  <threadedComment ref="H136" dT="2024-07-25T20:31:07.41" personId="{29189F69-2335-48BB-8780-220B2AE719A7}" id="{85C48969-DB3F-4B62-8B39-87021E5BCF8E}">
    <text>For Friday - Olympic Games</text>
  </threadedComment>
  <threadedComment ref="E145" dT="2024-09-10T08:54:52.37" personId="{29189F69-2335-48BB-8780-220B2AE719A7}" id="{95384741-AFA0-4E29-8D7A-A1EFE56BD505}">
    <text>Flu jab</text>
  </threadedComment>
  <threadedComment ref="B147" dT="2024-03-18T12:38:36.10" personId="{29189F69-2335-48BB-8780-220B2AE719A7}" id="{3F3C1DB5-0BA7-4C5A-A1C9-25EDC22BF39D}">
    <text>Royal Half</text>
  </threadedComment>
  <threadedComment ref="E151" dT="2024-11-06T15:58:47.50" personId="{29189F69-2335-48BB-8780-220B2AE719A7}" id="{37EC5BD5-3CE0-4D7F-954C-958BB5505F56}">
    <text>dentist</text>
  </threadedComment>
  <threadedComment ref="G154" dT="2024-11-18T14:28:59.86" personId="{29189F69-2335-48BB-8780-220B2AE719A7}" id="{3DB90DF3-C731-4615-BEDE-50CD25025A1F}">
    <text>Nativity Show
Paint 500-600pm</text>
  </threadedComment>
  <threadedComment ref="F156" dT="2024-12-18T14:19:32.37" personId="{29189F69-2335-48BB-8780-220B2AE719A7}" id="{7A57C396-C196-44ED-9718-70C166E22355}">
    <text>Strength4</text>
  </threadedComment>
  <threadedComment ref="B157" dT="2024-11-20T10:44:39.31" personId="{29189F69-2335-48BB-8780-220B2AE719A7}" id="{FD1E55A3-2C7E-4A28-84E0-DAC1616F3F94}">
    <text>Pilates5+2h creche</text>
  </threadedComment>
  <threadedComment ref="B159" dT="2024-11-20T10:49:56.19" personId="{29189F69-2335-48BB-8780-220B2AE719A7}" id="{F6AAB93A-39F1-47BD-94A3-28F447F950DC}">
    <text>Piano Trial1</text>
  </threadedComment>
  <threadedComment ref="B160" dT="2024-12-13T15:52:19.84" personId="{29189F69-2335-48BB-8780-220B2AE719A7}" id="{E44BF194-1ADC-4336-9160-5B2647CA345A}">
    <text>Piano trial2</text>
  </threadedComment>
  <threadedComment ref="B169" dT="2025-03-12T12:34:17.05" personId="{29189F69-2335-48BB-8780-220B2AE719A7}" id="{7D07C540-138D-46B6-87DE-29F413F904C7}">
    <text>Swimming backward</text>
  </threadedComment>
  <threadedComment ref="C170" dT="2025-01-23T14:47:41.89" personId="{29189F69-2335-48BB-8780-220B2AE719A7}" id="{1CBF989C-8655-4C98-8E60-D222CF8083BE}">
    <text>Fetal Scan @ 10.15</text>
  </threadedComment>
  <threadedComment ref="G170" dT="2024-07-16T11:04:08.35" personId="{29189F69-2335-48BB-8780-220B2AE719A7}" id="{D26242A8-5417-4422-8C76-166B2019FF19}">
    <text>Girls depart from 12.00 pm</text>
  </threadedComment>
  <threadedComment ref="G171" dT="2025-04-03T10:20:05.22" personId="{29189F69-2335-48BB-8780-220B2AE719A7}" id="{24505BBF-5DA0-443F-89EC-3C45F77BA529}">
    <text>Piano 5.00pm</text>
  </threadedComment>
  <threadedComment ref="B173" dT="2024-11-18T14:03:00.33" personId="{29189F69-2335-48BB-8780-220B2AE719A7}" id="{9A3E8128-B54F-44E5-B1C0-120AB61040EE}">
    <text>Tennis 2/谷晶来伦敦</text>
  </threadedComment>
  <threadedComment ref="B174" dT="2025-04-03T10:44:44.41" personId="{29189F69-2335-48BB-8780-220B2AE719A7}" id="{BD643C27-D80F-4221-8C16-584CC7D0E3C2}">
    <text>Tennis 4</text>
  </threadedComment>
  <threadedComment ref="B175" dT="2024-11-13T12:10:38.09" personId="{29189F69-2335-48BB-8780-220B2AE719A7}" id="{77004027-9DEC-440C-B7A8-60D8A00F3FDE}">
    <text>Swan Lake</text>
  </threadedComment>
  <threadedComment ref="B176" dT="2025-04-03T14:20:36.71" personId="{29189F69-2335-48BB-8780-220B2AE719A7}" id="{9B299096-F6FF-4447-8008-FA0D76224A6D}">
    <text>Tennis 5</text>
  </threadedComment>
  <threadedComment ref="B178" dT="2025-04-03T14:20:43.57" personId="{29189F69-2335-48BB-8780-220B2AE719A7}" id="{8BA6FD50-5B53-4FFC-A481-0286AF0AC1FF}">
    <text>Tennis 6</text>
  </threadedComment>
  <threadedComment ref="C183" dT="2025-03-19T15:59:51.60" personId="{29189F69-2335-48BB-8780-220B2AE719A7}" id="{B52C8ADA-EA62-4B98-972F-9DFD86B20E1C}">
    <text>Planning Week</text>
  </threadedComment>
  <threadedComment ref="F185" dT="2025-04-02T14:40:43.06" personId="{29189F69-2335-48BB-8780-220B2AE719A7}" id="{B0009B29-89AE-4082-8E7F-555F4BDDFDF7}">
    <text>Girls depart from 12.00</text>
  </threadedComment>
  <threadedComment ref="B193" dT="2025-04-07T10:13:21.51" personId="{29189F69-2335-48BB-8780-220B2AE719A7}" id="{07F3CB37-D02F-4636-9908-1F92135C2764}">
    <text>Mum flies to UK</text>
  </threadedComment>
</ThreadedComments>
</file>

<file path=xl/threadedComments/threadedComment2.xml><?xml version="1.0" encoding="utf-8"?>
<ThreadedComments xmlns="http://schemas.microsoft.com/office/spreadsheetml/2018/threadedcomments" xmlns:x="http://schemas.openxmlformats.org/spreadsheetml/2006/main">
  <threadedComment ref="E31" dT="2025-04-04T10:39:43.35" personId="{29189F69-2335-48BB-8780-220B2AE719A7}" id="{33254EAB-523B-445B-B28A-8A6F60A2341B}">
    <text>birthday</text>
  </threadedComment>
</ThreadedComments>
</file>

<file path=xl/threadedComments/threadedComment3.xml><?xml version="1.0" encoding="utf-8"?>
<ThreadedComments xmlns="http://schemas.microsoft.com/office/spreadsheetml/2018/threadedcomments" xmlns:x="http://schemas.openxmlformats.org/spreadsheetml/2006/main">
  <threadedComment ref="A4" dT="2024-03-27T11:27:54.22" personId="{29189F69-2335-48BB-8780-220B2AE719A7}" id="{AC367036-C4A2-4E60-8CB1-37D89F03D4F0}">
    <text>Halifax 116469 01374861</text>
  </threadedComment>
  <threadedComment ref="B4" dT="2024-04-22T19:01:31.79" personId="{29189F69-2335-48BB-8780-220B2AE719A7}" id="{CFD49B4F-33CB-47C6-9E01-EE6019ACAA20}">
    <text>In Halifax, try to move to Nutmeg</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3.15@%20filling" TargetMode="External"/><Relationship Id="rId1" Type="http://schemas.openxmlformats.org/officeDocument/2006/relationships/hyperlink" Target="mailto:GTT@9.10" TargetMode="External"/><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7"/>
  <sheetViews>
    <sheetView workbookViewId="0">
      <selection activeCell="B17" sqref="B17"/>
    </sheetView>
  </sheetViews>
  <sheetFormatPr defaultRowHeight="14.4"/>
  <cols>
    <col min="1" max="1" width="7.5546875" customWidth="1"/>
    <col min="2" max="2" width="9.44140625" customWidth="1"/>
    <col min="3" max="4" width="9" customWidth="1"/>
    <col min="5" max="6" width="8.5546875" customWidth="1"/>
    <col min="7" max="8" width="6.5546875" customWidth="1"/>
    <col min="9" max="9" width="6.44140625" customWidth="1"/>
    <col min="10" max="11" width="6.5546875" customWidth="1"/>
    <col min="12" max="12" width="3" customWidth="1"/>
    <col min="13" max="13" width="7.44140625" customWidth="1"/>
    <col min="14" max="14" width="5.5546875" customWidth="1"/>
    <col min="15" max="15" width="6.44140625" customWidth="1"/>
    <col min="16" max="17" width="5.5546875" customWidth="1"/>
    <col min="18" max="18" width="2.44140625" customWidth="1"/>
    <col min="19" max="19" width="7.44140625" customWidth="1"/>
    <col min="20" max="20" width="7.5546875" customWidth="1"/>
    <col min="21" max="21" width="8.5546875" hidden="1" customWidth="1"/>
    <col min="22" max="22" width="7.44140625" customWidth="1"/>
    <col min="23" max="23" width="8.5546875" hidden="1" customWidth="1"/>
    <col min="24" max="24" width="8.44140625" customWidth="1"/>
    <col min="25" max="25" width="9" hidden="1" customWidth="1"/>
    <col min="26" max="26" width="8.5546875" customWidth="1"/>
    <col min="27" max="27" width="9.44140625" hidden="1" customWidth="1"/>
    <col min="28" max="28" width="7.44140625" customWidth="1"/>
    <col min="29" max="30" width="9" customWidth="1"/>
  </cols>
  <sheetData>
    <row r="1" spans="1:30">
      <c r="A1" s="5" t="s">
        <v>0</v>
      </c>
      <c r="B1" t="s">
        <v>1</v>
      </c>
      <c r="C1" t="s">
        <v>2</v>
      </c>
      <c r="D1" t="s">
        <v>3</v>
      </c>
      <c r="E1" t="s">
        <v>4</v>
      </c>
      <c r="F1" s="16"/>
      <c r="G1" s="5" t="s">
        <v>5</v>
      </c>
      <c r="H1" t="s">
        <v>1</v>
      </c>
      <c r="I1" t="s">
        <v>2</v>
      </c>
      <c r="J1" t="s">
        <v>3</v>
      </c>
      <c r="K1" t="s">
        <v>4</v>
      </c>
      <c r="M1" s="5" t="s">
        <v>6</v>
      </c>
      <c r="N1" t="s">
        <v>1</v>
      </c>
      <c r="O1" t="s">
        <v>2</v>
      </c>
      <c r="P1" t="s">
        <v>3</v>
      </c>
      <c r="Q1" t="s">
        <v>4</v>
      </c>
      <c r="S1" s="25" t="s">
        <v>7</v>
      </c>
      <c r="T1" t="s">
        <v>1</v>
      </c>
      <c r="U1">
        <v>204400</v>
      </c>
      <c r="V1" t="s">
        <v>2</v>
      </c>
      <c r="W1" s="4">
        <v>234200</v>
      </c>
      <c r="X1" t="s">
        <v>3</v>
      </c>
      <c r="Y1" s="4">
        <v>243600</v>
      </c>
      <c r="Z1" t="s">
        <v>4</v>
      </c>
      <c r="AA1" s="4">
        <v>264300</v>
      </c>
      <c r="AC1" s="16" t="s">
        <v>8</v>
      </c>
      <c r="AD1" s="6"/>
    </row>
    <row r="2" spans="1:30">
      <c r="A2" s="5" t="s">
        <v>9</v>
      </c>
      <c r="B2" s="7">
        <v>14505.1</v>
      </c>
      <c r="C2" s="7">
        <v>13202.86</v>
      </c>
      <c r="D2" s="7">
        <v>13491.17</v>
      </c>
      <c r="E2" s="7">
        <v>14431.26</v>
      </c>
      <c r="F2" s="7"/>
      <c r="I2">
        <v>486.61</v>
      </c>
      <c r="J2">
        <v>536.79</v>
      </c>
      <c r="K2">
        <v>595.22</v>
      </c>
      <c r="N2">
        <f>1880*2</f>
        <v>3760</v>
      </c>
      <c r="O2">
        <f>2085*2</f>
        <v>4170</v>
      </c>
      <c r="P2">
        <f>2301*2</f>
        <v>4602</v>
      </c>
      <c r="Q2">
        <f>2551*2</f>
        <v>5102</v>
      </c>
      <c r="S2" s="8">
        <v>0.09</v>
      </c>
      <c r="T2">
        <v>1885.41</v>
      </c>
      <c r="U2">
        <f>SUM($T$2:T2)</f>
        <v>1885.41</v>
      </c>
      <c r="V2" s="9">
        <f>$W$1/12*$S$2+U13*$S$4</f>
        <v>1801.081751200493</v>
      </c>
      <c r="W2" s="9">
        <f>U13+V2</f>
        <v>21254.936820506555</v>
      </c>
      <c r="X2" s="10">
        <f>Y$1/12*$S$2+W13*$S$5</f>
        <v>1878.7525252633316</v>
      </c>
      <c r="Y2" s="1">
        <f>W13+X2</f>
        <v>43280.772735928498</v>
      </c>
      <c r="Z2" s="10">
        <f>AA$1/12*$S$2+Y13*$S$5</f>
        <v>2062.7667366260625</v>
      </c>
      <c r="AA2" s="1">
        <f>Y13+Z2</f>
        <v>66476.156037476103</v>
      </c>
      <c r="AB2" s="13"/>
      <c r="AC2">
        <v>60099.98</v>
      </c>
    </row>
    <row r="3" spans="1:30">
      <c r="A3" s="5" t="s">
        <v>10</v>
      </c>
      <c r="B3" s="7">
        <v>11568.32</v>
      </c>
      <c r="C3" s="7">
        <v>13202.86</v>
      </c>
      <c r="D3" s="7">
        <v>13491.17</v>
      </c>
      <c r="E3" s="7">
        <v>14431.26</v>
      </c>
      <c r="F3" s="7"/>
      <c r="H3">
        <v>438.73</v>
      </c>
      <c r="I3">
        <v>486.61</v>
      </c>
      <c r="J3">
        <v>536.79</v>
      </c>
      <c r="K3">
        <v>595.22</v>
      </c>
      <c r="N3">
        <f>1880*2</f>
        <v>3760</v>
      </c>
      <c r="O3">
        <f>2085*2</f>
        <v>4170</v>
      </c>
      <c r="P3">
        <f>2301*2</f>
        <v>4602</v>
      </c>
      <c r="Q3">
        <f>2551*2</f>
        <v>5102</v>
      </c>
      <c r="S3" s="11">
        <v>2.5000000000000001E-3</v>
      </c>
      <c r="T3">
        <f>$U$1/12*$S$2+U2*$S$3</f>
        <v>1537.7135249999997</v>
      </c>
      <c r="U3">
        <f t="shared" ref="U3:U11" si="0">U2+T3</f>
        <v>3423.123525</v>
      </c>
      <c r="V3" s="9">
        <f>$W$1/12*$S$2+W2*$S$4</f>
        <v>1805.2092302136609</v>
      </c>
      <c r="W3" s="9">
        <f>W2+V3</f>
        <v>23060.146050720217</v>
      </c>
      <c r="X3" s="10">
        <f>$Y$1/12*$S$2+Y2*$S$5</f>
        <v>1881.1009659199105</v>
      </c>
      <c r="Y3" s="1">
        <f>Y2+X3</f>
        <v>45161.87370184841</v>
      </c>
      <c r="Z3" s="10">
        <f>AA$1/12*$S$2+AA2*$S$5</f>
        <v>2065.3451950468452</v>
      </c>
      <c r="AA3" s="1">
        <f>AA2+Z3</f>
        <v>68541.501232522947</v>
      </c>
      <c r="AB3" s="13"/>
    </row>
    <row r="4" spans="1:30">
      <c r="A4" s="5" t="s">
        <v>11</v>
      </c>
      <c r="B4" s="7">
        <v>11568.32</v>
      </c>
      <c r="C4" s="7">
        <v>13202.86</v>
      </c>
      <c r="D4" s="7">
        <v>13491.17</v>
      </c>
      <c r="E4" s="7">
        <v>14431.26</v>
      </c>
      <c r="F4" s="7"/>
      <c r="H4">
        <v>438.73</v>
      </c>
      <c r="I4">
        <v>486.61</v>
      </c>
      <c r="J4">
        <v>536.79</v>
      </c>
      <c r="K4">
        <v>595.22</v>
      </c>
      <c r="N4">
        <f>1880*2</f>
        <v>3760</v>
      </c>
      <c r="O4">
        <f>2085*2</f>
        <v>4170</v>
      </c>
      <c r="P4">
        <f>2301*2</f>
        <v>4602</v>
      </c>
      <c r="Q4">
        <f>2551*2</f>
        <v>5102</v>
      </c>
      <c r="S4" s="12">
        <v>2.2916666666666667E-3</v>
      </c>
      <c r="T4">
        <f t="shared" ref="T4:T10" si="1">$U$1/12*$S$2+U3*$S$3</f>
        <v>1541.5578088124998</v>
      </c>
      <c r="U4">
        <f t="shared" si="0"/>
        <v>4964.6813338124994</v>
      </c>
      <c r="V4" s="9">
        <f t="shared" ref="V4:V11" si="2">$W$1/12*$S$2+W3*$S$4</f>
        <v>1809.3461680329006</v>
      </c>
      <c r="W4" s="9">
        <f t="shared" ref="W4:W11" si="3">W3+V4</f>
        <v>24869.492218753119</v>
      </c>
      <c r="X4" s="10">
        <f>$Y$1/12*$S$2+Y3*$S$5</f>
        <v>1883.4523421273104</v>
      </c>
      <c r="Y4" s="1">
        <f t="shared" ref="Y4:Y13" si="4">Y3+X4</f>
        <v>47045.326043975721</v>
      </c>
      <c r="Z4" s="10">
        <f t="shared" ref="Z4:Z11" si="5">AA$1/12*$S$2+AA3*$S$5</f>
        <v>2067.9268765406537</v>
      </c>
      <c r="AA4" s="1">
        <f t="shared" ref="AA4:AA11" si="6">AA3+Z4</f>
        <v>70609.428109063607</v>
      </c>
      <c r="AB4" s="13"/>
    </row>
    <row r="5" spans="1:30">
      <c r="A5" s="5" t="s">
        <v>12</v>
      </c>
      <c r="B5" s="7">
        <v>11568.32</v>
      </c>
      <c r="C5" s="7">
        <v>13202.86</v>
      </c>
      <c r="D5" s="7">
        <v>13491.17</v>
      </c>
      <c r="E5" s="7">
        <v>14431.26</v>
      </c>
      <c r="F5" s="7"/>
      <c r="H5">
        <v>438.73</v>
      </c>
      <c r="I5">
        <v>486.61</v>
      </c>
      <c r="J5">
        <v>536.79</v>
      </c>
      <c r="K5">
        <v>595.22</v>
      </c>
      <c r="N5">
        <f>1880*2</f>
        <v>3760</v>
      </c>
      <c r="O5">
        <f>2085*2</f>
        <v>4170</v>
      </c>
      <c r="P5">
        <f>2301*2</f>
        <v>4602</v>
      </c>
      <c r="Q5">
        <f>2551*2</f>
        <v>5102</v>
      </c>
      <c r="S5" s="12">
        <v>1.25E-3</v>
      </c>
      <c r="T5">
        <f t="shared" si="1"/>
        <v>1545.411703334531</v>
      </c>
      <c r="U5">
        <f t="shared" si="0"/>
        <v>6510.0930371470304</v>
      </c>
      <c r="V5" s="9">
        <f t="shared" si="2"/>
        <v>1813.4925863346425</v>
      </c>
      <c r="W5" s="9">
        <f t="shared" si="3"/>
        <v>26682.984805087763</v>
      </c>
      <c r="X5" s="10">
        <f>$Y$1/12*$S$2+Y4*$S$5</f>
        <v>1885.8066575549697</v>
      </c>
      <c r="Y5" s="1">
        <f t="shared" si="4"/>
        <v>48931.132701530689</v>
      </c>
      <c r="Z5" s="10">
        <f>AA$1/12*$S$2+AA4*$S$5</f>
        <v>2070.5117851363293</v>
      </c>
      <c r="AA5" s="1">
        <f t="shared" si="6"/>
        <v>72679.939894199939</v>
      </c>
      <c r="AB5" s="13"/>
    </row>
    <row r="6" spans="1:30">
      <c r="A6" s="5" t="s">
        <v>13</v>
      </c>
      <c r="B6" s="7">
        <v>11283.75</v>
      </c>
      <c r="C6" s="7">
        <v>12903.78</v>
      </c>
      <c r="D6" s="7">
        <v>13144.01</v>
      </c>
      <c r="E6" s="7">
        <v>14121.72</v>
      </c>
      <c r="F6" s="7"/>
      <c r="H6">
        <v>438.73</v>
      </c>
      <c r="I6">
        <v>486.61</v>
      </c>
      <c r="J6">
        <v>536.79</v>
      </c>
      <c r="K6" s="216">
        <f>3800-73.83</f>
        <v>3726.17</v>
      </c>
      <c r="N6">
        <f>2085*2</f>
        <v>4170</v>
      </c>
      <c r="O6">
        <f>2301*2</f>
        <v>4602</v>
      </c>
      <c r="P6">
        <f t="shared" ref="P6:P13" si="7">2551*2</f>
        <v>5102</v>
      </c>
      <c r="Q6">
        <v>5548</v>
      </c>
      <c r="S6" s="12"/>
      <c r="T6">
        <f t="shared" si="1"/>
        <v>1549.2752325928673</v>
      </c>
      <c r="U6">
        <f t="shared" si="0"/>
        <v>8059.3682697398981</v>
      </c>
      <c r="V6" s="9">
        <f t="shared" si="2"/>
        <v>1817.6485068449929</v>
      </c>
      <c r="W6" s="9">
        <f t="shared" si="3"/>
        <v>28500.633311932754</v>
      </c>
      <c r="X6" s="10">
        <f t="shared" ref="X6:X11" si="8">$Y$1/12*$S$2+Y5*$S$5</f>
        <v>1888.1639158769133</v>
      </c>
      <c r="Y6" s="1">
        <f t="shared" si="4"/>
        <v>50819.296617407599</v>
      </c>
      <c r="Z6" s="10">
        <f>AA$1/12*$S$2+AA5*$S$5</f>
        <v>2073.0999248677499</v>
      </c>
      <c r="AA6" s="1">
        <f t="shared" si="6"/>
        <v>74753.039819067693</v>
      </c>
      <c r="AB6" s="13"/>
    </row>
    <row r="7" spans="1:30">
      <c r="A7" s="5" t="s">
        <v>14</v>
      </c>
      <c r="B7" s="7">
        <v>11283.75</v>
      </c>
      <c r="C7" s="7">
        <v>12903.78</v>
      </c>
      <c r="D7" s="7">
        <v>13144.01</v>
      </c>
      <c r="E7" s="7">
        <v>14121.72</v>
      </c>
      <c r="F7" s="7"/>
      <c r="H7">
        <v>438.73</v>
      </c>
      <c r="I7">
        <v>486.61</v>
      </c>
      <c r="J7">
        <v>536.79</v>
      </c>
      <c r="K7" s="216"/>
      <c r="N7">
        <f t="shared" ref="N7:N13" si="9">2085*2</f>
        <v>4170</v>
      </c>
      <c r="O7">
        <f t="shared" ref="O7:O13" si="10">2301*2</f>
        <v>4602</v>
      </c>
      <c r="P7">
        <f t="shared" si="7"/>
        <v>5102</v>
      </c>
      <c r="Q7">
        <v>5548</v>
      </c>
      <c r="T7">
        <f t="shared" si="1"/>
        <v>1553.1484206743496</v>
      </c>
      <c r="U7">
        <f t="shared" si="0"/>
        <v>9612.5166904142479</v>
      </c>
      <c r="V7" s="9">
        <f t="shared" si="2"/>
        <v>1821.813951339846</v>
      </c>
      <c r="W7" s="9">
        <f t="shared" si="3"/>
        <v>30322.447263272599</v>
      </c>
      <c r="X7" s="22">
        <f t="shared" si="8"/>
        <v>1890.5241207717595</v>
      </c>
      <c r="Y7" s="1">
        <f t="shared" si="4"/>
        <v>52709.820738179362</v>
      </c>
      <c r="Z7" s="10">
        <f t="shared" si="5"/>
        <v>2075.6912997738345</v>
      </c>
      <c r="AA7" s="1">
        <f t="shared" si="6"/>
        <v>76828.731118841533</v>
      </c>
      <c r="AB7" s="13"/>
    </row>
    <row r="8" spans="1:30">
      <c r="A8" s="5" t="s">
        <v>15</v>
      </c>
      <c r="B8" s="7">
        <v>11283.75</v>
      </c>
      <c r="C8" s="7">
        <v>12903.78</v>
      </c>
      <c r="D8" s="7">
        <v>13144.01</v>
      </c>
      <c r="E8" s="7">
        <v>6913.73</v>
      </c>
      <c r="F8" s="7"/>
      <c r="H8">
        <v>486.61</v>
      </c>
      <c r="I8">
        <v>536.79</v>
      </c>
      <c r="J8">
        <v>595.22</v>
      </c>
      <c r="K8" s="216"/>
      <c r="N8">
        <f t="shared" si="9"/>
        <v>4170</v>
      </c>
      <c r="O8">
        <f t="shared" si="10"/>
        <v>4602</v>
      </c>
      <c r="P8">
        <f t="shared" si="7"/>
        <v>5102</v>
      </c>
      <c r="Q8">
        <v>5548</v>
      </c>
      <c r="T8">
        <f t="shared" si="1"/>
        <v>1557.0312917260353</v>
      </c>
      <c r="U8">
        <f t="shared" si="0"/>
        <v>11169.547982140284</v>
      </c>
      <c r="V8" s="9">
        <f t="shared" si="2"/>
        <v>1825.9889416449996</v>
      </c>
      <c r="W8" s="9">
        <f t="shared" si="3"/>
        <v>32148.436204917598</v>
      </c>
      <c r="X8" s="10">
        <f t="shared" si="8"/>
        <v>1892.8872759227243</v>
      </c>
      <c r="Y8" s="1">
        <f t="shared" si="4"/>
        <v>54602.708014102085</v>
      </c>
      <c r="Z8" s="23">
        <f t="shared" si="5"/>
        <v>2078.2859138985518</v>
      </c>
      <c r="AA8" s="1">
        <f t="shared" si="6"/>
        <v>78907.017032740085</v>
      </c>
      <c r="AB8" s="13"/>
    </row>
    <row r="9" spans="1:30">
      <c r="A9" s="5" t="s">
        <v>16</v>
      </c>
      <c r="B9" s="7">
        <v>11283.75</v>
      </c>
      <c r="C9" s="7">
        <v>12903.78</v>
      </c>
      <c r="D9" s="7">
        <v>13144.01</v>
      </c>
      <c r="E9" s="7">
        <v>14121.72</v>
      </c>
      <c r="F9" s="7"/>
      <c r="H9">
        <v>486.61</v>
      </c>
      <c r="I9">
        <v>536.79</v>
      </c>
      <c r="J9">
        <v>595.22</v>
      </c>
      <c r="K9" s="216"/>
      <c r="N9">
        <f t="shared" si="9"/>
        <v>4170</v>
      </c>
      <c r="O9">
        <f t="shared" si="10"/>
        <v>4602</v>
      </c>
      <c r="P9">
        <f t="shared" si="7"/>
        <v>5102</v>
      </c>
      <c r="Q9">
        <v>5548</v>
      </c>
      <c r="T9">
        <f t="shared" si="1"/>
        <v>1560.9238699553505</v>
      </c>
      <c r="U9">
        <f t="shared" si="0"/>
        <v>12730.471852095634</v>
      </c>
      <c r="V9" s="9">
        <f t="shared" si="2"/>
        <v>1830.1734996362695</v>
      </c>
      <c r="W9" s="9">
        <f t="shared" si="3"/>
        <v>33978.60970455387</v>
      </c>
      <c r="X9" s="23">
        <f t="shared" si="8"/>
        <v>1895.2533850176276</v>
      </c>
      <c r="Y9" s="1">
        <f t="shared" si="4"/>
        <v>56497.961399119711</v>
      </c>
      <c r="Z9" s="10">
        <f t="shared" si="5"/>
        <v>2080.8837712909253</v>
      </c>
      <c r="AA9" s="1">
        <f t="shared" si="6"/>
        <v>80987.900804031015</v>
      </c>
      <c r="AB9" s="13"/>
    </row>
    <row r="10" spans="1:30">
      <c r="A10" s="5" t="s">
        <v>17</v>
      </c>
      <c r="B10" s="7">
        <v>11283.75</v>
      </c>
      <c r="C10" s="7">
        <v>12903.78</v>
      </c>
      <c r="D10" s="7">
        <v>13144.01</v>
      </c>
      <c r="E10" s="7">
        <v>14121.72</v>
      </c>
      <c r="F10" s="7"/>
      <c r="H10">
        <v>486.61</v>
      </c>
      <c r="I10">
        <v>536.79</v>
      </c>
      <c r="J10">
        <v>595.22</v>
      </c>
      <c r="K10" s="216"/>
      <c r="N10">
        <f t="shared" si="9"/>
        <v>4170</v>
      </c>
      <c r="O10">
        <f t="shared" si="10"/>
        <v>4602</v>
      </c>
      <c r="P10">
        <f t="shared" si="7"/>
        <v>5102</v>
      </c>
      <c r="Q10">
        <v>5548</v>
      </c>
      <c r="T10">
        <f t="shared" si="1"/>
        <v>1564.8261796302388</v>
      </c>
      <c r="U10">
        <f t="shared" si="0"/>
        <v>14295.298031725873</v>
      </c>
      <c r="V10" s="9">
        <f t="shared" si="2"/>
        <v>1834.3676472396025</v>
      </c>
      <c r="W10" s="9">
        <f t="shared" si="3"/>
        <v>35812.977351793474</v>
      </c>
      <c r="X10" s="10">
        <f t="shared" si="8"/>
        <v>1897.6224517488997</v>
      </c>
      <c r="Y10" s="1">
        <f t="shared" si="4"/>
        <v>58395.583850868614</v>
      </c>
      <c r="Z10" s="10">
        <f t="shared" si="5"/>
        <v>2083.4848760050386</v>
      </c>
      <c r="AA10" s="1">
        <f t="shared" si="6"/>
        <v>83071.385680036052</v>
      </c>
      <c r="AB10" s="13"/>
    </row>
    <row r="11" spans="1:30">
      <c r="A11" s="5" t="s">
        <v>18</v>
      </c>
      <c r="B11" s="7">
        <v>11283.75</v>
      </c>
      <c r="C11" s="7">
        <v>12903.78</v>
      </c>
      <c r="D11" s="7">
        <v>13145.26</v>
      </c>
      <c r="E11" s="7">
        <v>14121.72</v>
      </c>
      <c r="F11" s="7"/>
      <c r="H11">
        <v>486.61</v>
      </c>
      <c r="I11">
        <v>536.79</v>
      </c>
      <c r="J11">
        <v>595.22</v>
      </c>
      <c r="K11" s="216"/>
      <c r="N11">
        <f t="shared" si="9"/>
        <v>4170</v>
      </c>
      <c r="O11">
        <f t="shared" si="10"/>
        <v>4602</v>
      </c>
      <c r="P11">
        <f t="shared" si="7"/>
        <v>5102</v>
      </c>
      <c r="Q11">
        <v>5548</v>
      </c>
      <c r="T11">
        <f>$U$1/12*$S$2+U10*$S$3</f>
        <v>1568.7382450793145</v>
      </c>
      <c r="U11">
        <f t="shared" si="0"/>
        <v>15864.036276805187</v>
      </c>
      <c r="V11" s="9">
        <f t="shared" si="2"/>
        <v>1838.5714064311933</v>
      </c>
      <c r="W11" s="9">
        <f t="shared" si="3"/>
        <v>37651.548758224664</v>
      </c>
      <c r="X11" s="10">
        <f t="shared" si="8"/>
        <v>1899.9944798135857</v>
      </c>
      <c r="Y11" s="1">
        <f t="shared" si="4"/>
        <v>60295.578330682198</v>
      </c>
      <c r="Z11" s="10">
        <f t="shared" si="5"/>
        <v>2086.0892321000451</v>
      </c>
      <c r="AA11" s="1">
        <f t="shared" si="6"/>
        <v>85157.474912136095</v>
      </c>
      <c r="AB11" s="13"/>
    </row>
    <row r="12" spans="1:30">
      <c r="A12" s="5" t="s">
        <v>19</v>
      </c>
      <c r="B12" s="7">
        <v>11340.36</v>
      </c>
      <c r="C12" s="7">
        <v>12903.78</v>
      </c>
      <c r="D12" s="7">
        <v>13137.51</v>
      </c>
      <c r="E12" s="7">
        <v>14121.72</v>
      </c>
      <c r="F12" s="7"/>
      <c r="H12">
        <v>486.61</v>
      </c>
      <c r="I12">
        <v>536.79</v>
      </c>
      <c r="J12">
        <v>595.22</v>
      </c>
      <c r="K12" s="216">
        <v>1300</v>
      </c>
      <c r="N12">
        <f t="shared" si="9"/>
        <v>4170</v>
      </c>
      <c r="O12">
        <f t="shared" si="10"/>
        <v>4602</v>
      </c>
      <c r="P12">
        <f t="shared" si="7"/>
        <v>5102</v>
      </c>
      <c r="Q12">
        <v>5548</v>
      </c>
      <c r="T12">
        <f>$U$1/12*$S$2+U11*$S$4</f>
        <v>1569.355083134345</v>
      </c>
      <c r="U12" s="2">
        <f>U11+T12+(W1-U1)/12*$S$2</f>
        <v>17656.891359939531</v>
      </c>
      <c r="V12" s="9">
        <f>$W$1/12*$S$2+W11*$S$5</f>
        <v>1803.5644359477808</v>
      </c>
      <c r="W12" s="14">
        <f>W11+V12+(Y1-W1)/12*$S$2</f>
        <v>39525.613194172445</v>
      </c>
      <c r="X12" s="10">
        <f>$Y$1/12*$S$2+Y11*$S$5</f>
        <v>1902.3694729133526</v>
      </c>
      <c r="Y12" s="24">
        <f>Y11+X12+(AA1-Y1)/12*$S$2</f>
        <v>62353.197803595547</v>
      </c>
      <c r="Z12" s="23">
        <f>AA$1/12*$S$2+AA11*$S$5</f>
        <v>2088.6968436401703</v>
      </c>
      <c r="AA12" s="1">
        <f>AA11+Z12+(AB16-AA1)/12*$S$2</f>
        <v>87632.42175577626</v>
      </c>
      <c r="AB12" s="13"/>
    </row>
    <row r="13" spans="1:30">
      <c r="A13" s="5" t="s">
        <v>20</v>
      </c>
      <c r="B13" s="7">
        <v>15065.36</v>
      </c>
      <c r="C13" s="7">
        <v>14078.67</v>
      </c>
      <c r="D13" s="142">
        <v>15725.01</v>
      </c>
      <c r="E13" s="7">
        <v>20559.22</v>
      </c>
      <c r="F13" s="7"/>
      <c r="H13">
        <v>486.61</v>
      </c>
      <c r="I13">
        <v>536.79</v>
      </c>
      <c r="J13">
        <v>595.22</v>
      </c>
      <c r="K13" s="216"/>
      <c r="N13">
        <f t="shared" si="9"/>
        <v>4170</v>
      </c>
      <c r="O13">
        <f t="shared" si="10"/>
        <v>4602</v>
      </c>
      <c r="P13">
        <f t="shared" si="7"/>
        <v>5102</v>
      </c>
      <c r="Q13">
        <v>5548</v>
      </c>
      <c r="T13">
        <f>$W$1/12*$S$2+U12*$S$4</f>
        <v>1796.9637093665281</v>
      </c>
      <c r="U13">
        <f>U12+T13</f>
        <v>19453.855069306061</v>
      </c>
      <c r="V13" s="9">
        <f>$Y$1/12*$S$2+W12*$S$5</f>
        <v>1876.4070164927155</v>
      </c>
      <c r="W13" s="9">
        <f>W12+V13</f>
        <v>41402.020210665163</v>
      </c>
      <c r="X13" s="10">
        <f>AA1/12*$S$2+Y12*$S$5</f>
        <v>2060.1914972544946</v>
      </c>
      <c r="Y13" s="1">
        <f t="shared" si="4"/>
        <v>64413.389300850045</v>
      </c>
      <c r="Z13" s="10">
        <f>AB16/12*$S$2+AA12*$S$5</f>
        <v>2478.0405271947202</v>
      </c>
      <c r="AA13" s="1">
        <f>AA12+Z13</f>
        <v>90110.462282970984</v>
      </c>
      <c r="AB13" s="13"/>
    </row>
    <row r="14" spans="1:30">
      <c r="A14" s="5" t="s">
        <v>21</v>
      </c>
      <c r="B14" s="7">
        <v>32389.360000000001</v>
      </c>
      <c r="C14" s="15">
        <v>20085</v>
      </c>
      <c r="D14" s="142">
        <v>36105</v>
      </c>
      <c r="E14">
        <v>36105</v>
      </c>
      <c r="F14" s="15"/>
      <c r="N14">
        <f>6.65</f>
        <v>6.65</v>
      </c>
      <c r="O14">
        <v>320.29000000000002</v>
      </c>
      <c r="P14">
        <v>1367.48</v>
      </c>
      <c r="AB14" s="33"/>
    </row>
    <row r="15" spans="1:30">
      <c r="A15" s="18">
        <f>SUM(B15,C15,D15,E15)</f>
        <v>756840.03</v>
      </c>
      <c r="B15" s="17">
        <f>SUM(B2:B14)</f>
        <v>175707.64</v>
      </c>
      <c r="C15" s="17">
        <f>SUM(C2:C14)</f>
        <v>177301.57</v>
      </c>
      <c r="D15" s="17">
        <f>SUM(D2:D14)</f>
        <v>197797.51</v>
      </c>
      <c r="E15" s="17">
        <f>SUM(E2:E14)</f>
        <v>206033.31</v>
      </c>
      <c r="F15" s="17"/>
      <c r="G15" s="18">
        <f>SUM(H15:K15)</f>
        <v>25452.82</v>
      </c>
      <c r="H15" s="17">
        <f>SUM(H2:H14)</f>
        <v>5113.3099999999995</v>
      </c>
      <c r="I15" s="17">
        <f>SUM(I2:I14)</f>
        <v>6140.4000000000005</v>
      </c>
      <c r="J15" s="17">
        <f>SUM(J2:J14)</f>
        <v>6792.0600000000013</v>
      </c>
      <c r="K15" s="17">
        <f>SUM(K2:K14)</f>
        <v>7407.05</v>
      </c>
      <c r="L15" s="17"/>
      <c r="M15" s="16">
        <f>SUM(N15:Q15)</f>
        <v>227606.42</v>
      </c>
      <c r="N15">
        <f>SUM(N2:N14)</f>
        <v>48406.65</v>
      </c>
      <c r="O15">
        <f>SUM(O2:O14)</f>
        <v>53816.29</v>
      </c>
      <c r="P15">
        <f>SUM(P2:P14)</f>
        <v>60591.48</v>
      </c>
      <c r="Q15">
        <f>SUM(Q2:Q14)</f>
        <v>64792</v>
      </c>
      <c r="S15" s="18">
        <f>AA13*0.8</f>
        <v>72088.369826376787</v>
      </c>
      <c r="T15" s="4">
        <f>U13*0.2</f>
        <v>3890.7710138612124</v>
      </c>
      <c r="U15" s="4"/>
      <c r="V15" s="4">
        <f>W13*0.4-T15</f>
        <v>12670.037070404855</v>
      </c>
      <c r="X15">
        <f>Y13*0.6-V15-T15</f>
        <v>22087.225496243958</v>
      </c>
      <c r="Z15">
        <f>AA13*0.8-X15-V15-T15</f>
        <v>33440.336245866762</v>
      </c>
      <c r="AB15" s="34" t="e">
        <f>#REF!-Z15-X15-V15-T15</f>
        <v>#REF!</v>
      </c>
      <c r="AC15" s="18"/>
    </row>
    <row r="16" spans="1:30" ht="28.8">
      <c r="A16" s="19" t="s">
        <v>22</v>
      </c>
      <c r="B16">
        <f>SUM(B2:B11)</f>
        <v>116912.56</v>
      </c>
      <c r="C16">
        <f>SUM(B12:B14,C2:C11)</f>
        <v>189029.2</v>
      </c>
      <c r="D16">
        <f>SUM(C12:C14,D2:D11)</f>
        <v>179897.44</v>
      </c>
      <c r="E16">
        <f>SUM(D12:D14,E2:E11)</f>
        <v>200214.88999999998</v>
      </c>
      <c r="T16">
        <v>204400</v>
      </c>
      <c r="V16">
        <v>234200</v>
      </c>
      <c r="X16" s="4">
        <v>243600</v>
      </c>
      <c r="Z16">
        <v>263400</v>
      </c>
      <c r="AB16">
        <v>315800</v>
      </c>
    </row>
    <row r="17" spans="1:31">
      <c r="A17" s="5" t="s">
        <v>23</v>
      </c>
      <c r="B17" s="20">
        <f>A15+G15+M15+AC2</f>
        <v>1069999.25</v>
      </c>
      <c r="C17" s="17"/>
      <c r="D17" s="17"/>
      <c r="V17" s="32">
        <f>(V16-T16)/T16</f>
        <v>0.14579256360078277</v>
      </c>
      <c r="X17" s="32">
        <f>(X16-V16)/V16</f>
        <v>4.0136635354397952E-2</v>
      </c>
      <c r="Y17" s="32"/>
      <c r="Z17" s="32">
        <f>(Z16-X16)/X16</f>
        <v>8.1280788177339899E-2</v>
      </c>
      <c r="AA17" s="32"/>
      <c r="AB17" s="32">
        <f>(AB16-Z16)/Z16</f>
        <v>0.19893697798025817</v>
      </c>
      <c r="AE17" s="32"/>
    </row>
  </sheetData>
  <mergeCells count="2">
    <mergeCell ref="K6:K11"/>
    <mergeCell ref="K12:K13"/>
  </mergeCells>
  <phoneticPr fontId="5" type="noConversion"/>
  <conditionalFormatting sqref="D17">
    <cfRule type="expression" dxfId="5" priority="14">
      <formula>$D$17&lt;0</formula>
    </cfRule>
    <cfRule type="expression" dxfId="4" priority="15">
      <formula>$D$17&gt;0</formula>
    </cfRule>
    <cfRule type="expression" dxfId="3" priority="16">
      <formula>#REF!&lt;0</formula>
    </cfRule>
    <cfRule type="expression" dxfId="2" priority="17">
      <formula>#REF!&gt;0</formula>
    </cfRule>
  </conditionalFormatting>
  <conditionalFormatting sqref="C17">
    <cfRule type="expression" dxfId="1" priority="18">
      <formula>#REF!&lt;0</formula>
    </cfRule>
    <cfRule type="expression" dxfId="0" priority="19">
      <formula>#REF!&gt;0</formula>
    </cfRule>
  </conditionalFormatting>
  <pageMargins left="0.7" right="0.7" top="0.75" bottom="0.75" header="0.3" footer="0.3"/>
  <pageSetup paperSize="9" orientation="portrait" r:id="rId1"/>
  <headerFooter>
    <oddFooter>&amp;C&amp;1#&amp;"Calibri"&amp;9&amp;K000000Information Classification: GENERAL</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14"/>
  <sheetViews>
    <sheetView workbookViewId="0">
      <selection activeCell="C21" sqref="C21"/>
    </sheetView>
  </sheetViews>
  <sheetFormatPr defaultRowHeight="14.4"/>
  <cols>
    <col min="1" max="1" width="3.44140625" bestFit="1" customWidth="1"/>
    <col min="2" max="2" width="10.5546875" customWidth="1"/>
    <col min="3" max="3" width="18.44140625" customWidth="1"/>
    <col min="4" max="4" width="20" customWidth="1"/>
    <col min="7" max="7" width="8.44140625" customWidth="1"/>
  </cols>
  <sheetData>
    <row r="1" spans="1:8">
      <c r="B1" t="s">
        <v>24</v>
      </c>
      <c r="C1" t="s">
        <v>25</v>
      </c>
      <c r="D1" t="s">
        <v>26</v>
      </c>
      <c r="E1" t="s">
        <v>27</v>
      </c>
      <c r="G1" t="s">
        <v>28</v>
      </c>
    </row>
    <row r="2" spans="1:8">
      <c r="A2">
        <v>1</v>
      </c>
      <c r="B2" t="s">
        <v>29</v>
      </c>
      <c r="C2" t="s">
        <v>30</v>
      </c>
      <c r="D2" t="s">
        <v>31</v>
      </c>
      <c r="E2" t="s">
        <v>32</v>
      </c>
      <c r="G2" s="21">
        <v>42722</v>
      </c>
      <c r="H2" t="s">
        <v>33</v>
      </c>
    </row>
    <row r="3" spans="1:8">
      <c r="A3">
        <v>2</v>
      </c>
      <c r="B3" t="s">
        <v>29</v>
      </c>
      <c r="C3" t="s">
        <v>34</v>
      </c>
      <c r="D3" t="s">
        <v>31</v>
      </c>
      <c r="E3" t="s">
        <v>32</v>
      </c>
      <c r="G3" s="21">
        <v>42723</v>
      </c>
      <c r="H3" t="s">
        <v>35</v>
      </c>
    </row>
    <row r="4" spans="1:8">
      <c r="A4">
        <v>3</v>
      </c>
      <c r="B4" t="s">
        <v>36</v>
      </c>
      <c r="C4" t="s">
        <v>37</v>
      </c>
      <c r="D4" t="s">
        <v>38</v>
      </c>
      <c r="E4" t="s">
        <v>32</v>
      </c>
      <c r="G4" s="21">
        <v>42724</v>
      </c>
      <c r="H4" t="s">
        <v>39</v>
      </c>
    </row>
    <row r="5" spans="1:8">
      <c r="A5">
        <v>4</v>
      </c>
      <c r="B5" t="s">
        <v>36</v>
      </c>
      <c r="C5" t="s">
        <v>40</v>
      </c>
      <c r="D5" t="s">
        <v>41</v>
      </c>
      <c r="E5" t="s">
        <v>32</v>
      </c>
      <c r="G5" s="21">
        <v>42725</v>
      </c>
      <c r="H5" t="s">
        <v>42</v>
      </c>
    </row>
    <row r="6" spans="1:8">
      <c r="A6">
        <v>5</v>
      </c>
      <c r="B6" t="s">
        <v>43</v>
      </c>
      <c r="C6" t="s">
        <v>44</v>
      </c>
      <c r="D6" t="s">
        <v>45</v>
      </c>
      <c r="E6" t="s">
        <v>32</v>
      </c>
      <c r="G6" s="21">
        <v>42726</v>
      </c>
      <c r="H6" t="s">
        <v>46</v>
      </c>
    </row>
    <row r="7" spans="1:8">
      <c r="A7">
        <v>6</v>
      </c>
      <c r="B7" t="s">
        <v>36</v>
      </c>
      <c r="C7" t="s">
        <v>47</v>
      </c>
      <c r="D7" t="s">
        <v>48</v>
      </c>
      <c r="E7" t="s">
        <v>32</v>
      </c>
      <c r="G7" s="21">
        <v>42727</v>
      </c>
      <c r="H7" t="s">
        <v>49</v>
      </c>
    </row>
    <row r="8" spans="1:8">
      <c r="A8">
        <v>7</v>
      </c>
      <c r="B8" t="s">
        <v>50</v>
      </c>
      <c r="C8" t="s">
        <v>51</v>
      </c>
      <c r="D8" t="s">
        <v>52</v>
      </c>
      <c r="E8" t="s">
        <v>32</v>
      </c>
      <c r="G8" s="21">
        <v>42728</v>
      </c>
      <c r="H8" t="s">
        <v>53</v>
      </c>
    </row>
    <row r="9" spans="1:8">
      <c r="A9">
        <v>8</v>
      </c>
      <c r="B9" t="s">
        <v>29</v>
      </c>
      <c r="C9" t="s">
        <v>30</v>
      </c>
      <c r="D9" t="s">
        <v>31</v>
      </c>
      <c r="E9" t="s">
        <v>32</v>
      </c>
      <c r="G9" s="21">
        <v>42729</v>
      </c>
      <c r="H9" t="s">
        <v>33</v>
      </c>
    </row>
    <row r="10" spans="1:8">
      <c r="A10">
        <v>9</v>
      </c>
      <c r="B10" t="s">
        <v>29</v>
      </c>
      <c r="C10" t="s">
        <v>34</v>
      </c>
      <c r="D10" t="s">
        <v>31</v>
      </c>
      <c r="E10" t="s">
        <v>32</v>
      </c>
      <c r="G10" s="21">
        <v>42730</v>
      </c>
      <c r="H10" t="s">
        <v>35</v>
      </c>
    </row>
    <row r="11" spans="1:8">
      <c r="A11">
        <v>10</v>
      </c>
      <c r="B11" t="s">
        <v>36</v>
      </c>
      <c r="C11" t="s">
        <v>37</v>
      </c>
      <c r="D11" t="s">
        <v>38</v>
      </c>
      <c r="E11" t="s">
        <v>32</v>
      </c>
      <c r="G11" s="21">
        <v>42731</v>
      </c>
      <c r="H11" t="s">
        <v>39</v>
      </c>
    </row>
    <row r="12" spans="1:8">
      <c r="A12">
        <v>11</v>
      </c>
      <c r="B12" t="s">
        <v>36</v>
      </c>
      <c r="C12" t="s">
        <v>40</v>
      </c>
      <c r="D12" t="s">
        <v>41</v>
      </c>
      <c r="E12" t="s">
        <v>32</v>
      </c>
      <c r="G12" s="21">
        <v>42732</v>
      </c>
      <c r="H12" t="s">
        <v>42</v>
      </c>
    </row>
    <row r="13" spans="1:8">
      <c r="A13">
        <v>12</v>
      </c>
      <c r="B13" t="s">
        <v>43</v>
      </c>
      <c r="C13" t="s">
        <v>44</v>
      </c>
      <c r="D13" t="s">
        <v>45</v>
      </c>
      <c r="E13" t="s">
        <v>32</v>
      </c>
      <c r="G13" s="21">
        <v>42733</v>
      </c>
      <c r="H13" t="s">
        <v>46</v>
      </c>
    </row>
    <row r="14" spans="1:8">
      <c r="A14">
        <v>13</v>
      </c>
      <c r="B14" t="s">
        <v>36</v>
      </c>
      <c r="C14" t="s">
        <v>47</v>
      </c>
      <c r="D14" t="s">
        <v>48</v>
      </c>
      <c r="E14" t="s">
        <v>32</v>
      </c>
      <c r="G14" s="21">
        <v>42734</v>
      </c>
      <c r="H14" t="s">
        <v>49</v>
      </c>
    </row>
  </sheetData>
  <phoneticPr fontId="5" type="noConversion"/>
  <pageMargins left="0.7" right="0.7" top="0.75" bottom="0.75" header="0.3" footer="0.3"/>
  <pageSetup orientation="portrait" r:id="rId1"/>
  <headerFooter>
    <oddFooter>&amp;C&amp;1#&amp;"Calibri"&amp;9&amp;K000000Information Classification: GENERAL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G97"/>
  <sheetViews>
    <sheetView topLeftCell="A85" workbookViewId="0">
      <selection activeCell="I18" sqref="I18"/>
    </sheetView>
  </sheetViews>
  <sheetFormatPr defaultRowHeight="14.4"/>
  <cols>
    <col min="1" max="1" width="20.44140625" customWidth="1"/>
    <col min="2" max="2" width="13.5546875" bestFit="1" customWidth="1"/>
    <col min="3" max="3" width="23.44140625" bestFit="1" customWidth="1"/>
    <col min="4" max="4" width="12.44140625" customWidth="1"/>
    <col min="5" max="5" width="9" style="29"/>
  </cols>
  <sheetData>
    <row r="1" spans="1:7">
      <c r="C1" t="s">
        <v>54</v>
      </c>
      <c r="E1" s="28" t="s">
        <v>55</v>
      </c>
    </row>
    <row r="2" spans="1:7">
      <c r="A2" s="27" t="s">
        <v>56</v>
      </c>
      <c r="B2" t="s">
        <v>57</v>
      </c>
      <c r="E2" s="29">
        <v>636</v>
      </c>
      <c r="G2" s="27" t="s">
        <v>58</v>
      </c>
    </row>
    <row r="3" spans="1:7">
      <c r="A3" s="27" t="s">
        <v>59</v>
      </c>
      <c r="B3" t="s">
        <v>60</v>
      </c>
      <c r="E3" s="29">
        <v>0</v>
      </c>
      <c r="G3" s="3" t="s">
        <v>61</v>
      </c>
    </row>
    <row r="4" spans="1:7">
      <c r="A4" t="s">
        <v>62</v>
      </c>
      <c r="C4" t="s">
        <v>63</v>
      </c>
      <c r="G4" s="26" t="s">
        <v>64</v>
      </c>
    </row>
    <row r="5" spans="1:7">
      <c r="A5" t="s">
        <v>65</v>
      </c>
      <c r="C5" t="s">
        <v>66</v>
      </c>
      <c r="G5" s="31" t="s">
        <v>67</v>
      </c>
    </row>
    <row r="6" spans="1:7">
      <c r="A6" t="s">
        <v>68</v>
      </c>
      <c r="C6" t="s">
        <v>69</v>
      </c>
    </row>
    <row r="7" spans="1:7">
      <c r="A7" t="s">
        <v>70</v>
      </c>
      <c r="C7" t="s">
        <v>71</v>
      </c>
    </row>
    <row r="8" spans="1:7">
      <c r="A8" t="s">
        <v>72</v>
      </c>
      <c r="C8" t="s">
        <v>73</v>
      </c>
    </row>
    <row r="9" spans="1:7">
      <c r="A9" t="s">
        <v>74</v>
      </c>
      <c r="B9" t="s">
        <v>75</v>
      </c>
      <c r="E9" s="29">
        <f>784</f>
        <v>784</v>
      </c>
    </row>
    <row r="10" spans="1:7">
      <c r="A10" s="26" t="s">
        <v>76</v>
      </c>
    </row>
    <row r="12" spans="1:7">
      <c r="A12" s="3" t="s">
        <v>77</v>
      </c>
      <c r="C12" t="s">
        <v>78</v>
      </c>
      <c r="D12" t="s">
        <v>79</v>
      </c>
    </row>
    <row r="13" spans="1:7">
      <c r="A13" t="s">
        <v>80</v>
      </c>
      <c r="C13" t="s">
        <v>81</v>
      </c>
    </row>
    <row r="14" spans="1:7">
      <c r="A14" t="s">
        <v>82</v>
      </c>
      <c r="C14" t="s">
        <v>83</v>
      </c>
    </row>
    <row r="15" spans="1:7">
      <c r="A15" t="s">
        <v>84</v>
      </c>
    </row>
    <row r="16" spans="1:7">
      <c r="A16" t="s">
        <v>85</v>
      </c>
    </row>
    <row r="17" spans="1:5">
      <c r="A17" t="s">
        <v>86</v>
      </c>
    </row>
    <row r="18" spans="1:5">
      <c r="A18" t="s">
        <v>87</v>
      </c>
    </row>
    <row r="19" spans="1:5" s="2" customFormat="1">
      <c r="A19" s="2" t="s">
        <v>88</v>
      </c>
      <c r="C19" s="2" t="s">
        <v>89</v>
      </c>
      <c r="D19" s="2" t="s">
        <v>90</v>
      </c>
      <c r="E19" s="30"/>
    </row>
    <row r="20" spans="1:5">
      <c r="A20" t="s">
        <v>91</v>
      </c>
    </row>
    <row r="21" spans="1:5">
      <c r="A21" t="s">
        <v>92</v>
      </c>
      <c r="C21" t="s">
        <v>93</v>
      </c>
    </row>
    <row r="22" spans="1:5">
      <c r="A22" t="s">
        <v>94</v>
      </c>
      <c r="C22" t="s">
        <v>95</v>
      </c>
    </row>
    <row r="23" spans="1:5">
      <c r="A23" t="s">
        <v>96</v>
      </c>
      <c r="C23" t="s">
        <v>97</v>
      </c>
    </row>
    <row r="24" spans="1:5">
      <c r="A24" t="s">
        <v>98</v>
      </c>
      <c r="C24" t="s">
        <v>97</v>
      </c>
      <c r="D24" t="s">
        <v>99</v>
      </c>
    </row>
    <row r="25" spans="1:5">
      <c r="A25" t="s">
        <v>100</v>
      </c>
      <c r="C25" t="s">
        <v>101</v>
      </c>
    </row>
    <row r="26" spans="1:5">
      <c r="A26" t="s">
        <v>102</v>
      </c>
      <c r="C26" t="s">
        <v>103</v>
      </c>
    </row>
    <row r="27" spans="1:5">
      <c r="A27" t="s">
        <v>104</v>
      </c>
      <c r="C27" t="s">
        <v>105</v>
      </c>
    </row>
    <row r="28" spans="1:5">
      <c r="A28" t="s">
        <v>106</v>
      </c>
      <c r="C28" t="s">
        <v>107</v>
      </c>
    </row>
    <row r="29" spans="1:5">
      <c r="A29" t="s">
        <v>108</v>
      </c>
    </row>
    <row r="30" spans="1:5">
      <c r="A30" t="s">
        <v>109</v>
      </c>
      <c r="C30" t="s">
        <v>110</v>
      </c>
    </row>
    <row r="31" spans="1:5" s="2" customFormat="1">
      <c r="E31" s="30"/>
    </row>
    <row r="32" spans="1:5">
      <c r="A32" t="s">
        <v>111</v>
      </c>
      <c r="D32" t="s">
        <v>112</v>
      </c>
    </row>
    <row r="33" spans="1:4">
      <c r="A33" t="s">
        <v>113</v>
      </c>
    </row>
    <row r="34" spans="1:4">
      <c r="A34" t="s">
        <v>114</v>
      </c>
    </row>
    <row r="35" spans="1:4">
      <c r="A35" t="s">
        <v>115</v>
      </c>
      <c r="C35" t="s">
        <v>116</v>
      </c>
    </row>
    <row r="36" spans="1:4">
      <c r="A36" t="s">
        <v>117</v>
      </c>
      <c r="C36" t="s">
        <v>118</v>
      </c>
    </row>
    <row r="37" spans="1:4">
      <c r="A37" t="s">
        <v>119</v>
      </c>
      <c r="C37" t="s">
        <v>120</v>
      </c>
    </row>
    <row r="38" spans="1:4">
      <c r="A38" t="s">
        <v>121</v>
      </c>
      <c r="C38" t="s">
        <v>122</v>
      </c>
    </row>
    <row r="39" spans="1:4">
      <c r="A39" t="s">
        <v>123</v>
      </c>
    </row>
    <row r="40" spans="1:4">
      <c r="A40" t="s">
        <v>124</v>
      </c>
      <c r="C40" t="s">
        <v>125</v>
      </c>
      <c r="D40" t="s">
        <v>126</v>
      </c>
    </row>
    <row r="41" spans="1:4">
      <c r="A41" t="s">
        <v>127</v>
      </c>
      <c r="C41" t="s">
        <v>128</v>
      </c>
    </row>
    <row r="42" spans="1:4">
      <c r="A42" t="s">
        <v>129</v>
      </c>
      <c r="C42" t="s">
        <v>130</v>
      </c>
    </row>
    <row r="43" spans="1:4">
      <c r="A43" t="s">
        <v>131</v>
      </c>
      <c r="C43" t="s">
        <v>132</v>
      </c>
    </row>
    <row r="44" spans="1:4">
      <c r="A44" t="s">
        <v>133</v>
      </c>
    </row>
    <row r="45" spans="1:4">
      <c r="A45" t="s">
        <v>134</v>
      </c>
      <c r="C45" t="s">
        <v>135</v>
      </c>
    </row>
    <row r="46" spans="1:4">
      <c r="A46" t="s">
        <v>136</v>
      </c>
      <c r="C46" t="s">
        <v>137</v>
      </c>
    </row>
    <row r="47" spans="1:4">
      <c r="A47" t="s">
        <v>138</v>
      </c>
      <c r="C47" t="s">
        <v>139</v>
      </c>
    </row>
    <row r="49" spans="1:4">
      <c r="A49" s="3" t="s">
        <v>140</v>
      </c>
      <c r="C49" t="s">
        <v>141</v>
      </c>
    </row>
    <row r="50" spans="1:4">
      <c r="A50" s="3" t="s">
        <v>142</v>
      </c>
      <c r="B50" t="s">
        <v>143</v>
      </c>
      <c r="C50" t="s">
        <v>144</v>
      </c>
    </row>
    <row r="51" spans="1:4">
      <c r="A51" s="3" t="s">
        <v>145</v>
      </c>
      <c r="C51" t="s">
        <v>146</v>
      </c>
      <c r="D51" t="s">
        <v>147</v>
      </c>
    </row>
    <row r="52" spans="1:4">
      <c r="A52" t="s">
        <v>148</v>
      </c>
      <c r="C52" t="s">
        <v>149</v>
      </c>
    </row>
    <row r="53" spans="1:4">
      <c r="A53" t="s">
        <v>150</v>
      </c>
      <c r="C53" t="s">
        <v>151</v>
      </c>
    </row>
    <row r="54" spans="1:4">
      <c r="A54" s="31" t="s">
        <v>152</v>
      </c>
    </row>
    <row r="55" spans="1:4">
      <c r="A55" t="s">
        <v>153</v>
      </c>
      <c r="C55" t="s">
        <v>141</v>
      </c>
    </row>
    <row r="56" spans="1:4">
      <c r="A56" t="s">
        <v>154</v>
      </c>
      <c r="C56" t="s">
        <v>107</v>
      </c>
    </row>
    <row r="57" spans="1:4">
      <c r="A57" t="s">
        <v>155</v>
      </c>
      <c r="C57" t="s">
        <v>156</v>
      </c>
    </row>
    <row r="58" spans="1:4">
      <c r="A58" t="s">
        <v>157</v>
      </c>
      <c r="C58" t="s">
        <v>158</v>
      </c>
    </row>
    <row r="59" spans="1:4">
      <c r="A59" t="s">
        <v>159</v>
      </c>
      <c r="C59" t="s">
        <v>160</v>
      </c>
    </row>
    <row r="60" spans="1:4">
      <c r="A60" t="s">
        <v>161</v>
      </c>
      <c r="C60" t="s">
        <v>162</v>
      </c>
    </row>
    <row r="61" spans="1:4">
      <c r="A61" t="s">
        <v>163</v>
      </c>
      <c r="C61" t="s">
        <v>164</v>
      </c>
    </row>
    <row r="63" spans="1:4">
      <c r="A63" s="3" t="s">
        <v>165</v>
      </c>
      <c r="C63" t="s">
        <v>166</v>
      </c>
    </row>
    <row r="64" spans="1:4">
      <c r="A64" t="s">
        <v>167</v>
      </c>
      <c r="C64" t="s">
        <v>120</v>
      </c>
    </row>
    <row r="65" spans="1:3">
      <c r="A65" s="26" t="s">
        <v>168</v>
      </c>
      <c r="C65" t="s">
        <v>120</v>
      </c>
    </row>
    <row r="66" spans="1:3">
      <c r="A66" t="s">
        <v>169</v>
      </c>
      <c r="C66" t="s">
        <v>166</v>
      </c>
    </row>
    <row r="67" spans="1:3">
      <c r="A67" t="s">
        <v>170</v>
      </c>
    </row>
    <row r="68" spans="1:3">
      <c r="A68" t="s">
        <v>171</v>
      </c>
      <c r="C68" t="s">
        <v>166</v>
      </c>
    </row>
    <row r="69" spans="1:3">
      <c r="A69" t="s">
        <v>172</v>
      </c>
    </row>
    <row r="70" spans="1:3">
      <c r="A70" s="3" t="s">
        <v>173</v>
      </c>
      <c r="C70" t="s">
        <v>174</v>
      </c>
    </row>
    <row r="71" spans="1:3">
      <c r="A71" t="s">
        <v>175</v>
      </c>
      <c r="C71" t="s">
        <v>120</v>
      </c>
    </row>
    <row r="72" spans="1:3">
      <c r="A72" t="s">
        <v>176</v>
      </c>
      <c r="C72" t="s">
        <v>177</v>
      </c>
    </row>
    <row r="73" spans="1:3">
      <c r="A73" t="s">
        <v>178</v>
      </c>
      <c r="C73" t="s">
        <v>120</v>
      </c>
    </row>
    <row r="74" spans="1:3">
      <c r="A74" t="s">
        <v>179</v>
      </c>
    </row>
    <row r="75" spans="1:3">
      <c r="A75" t="s">
        <v>180</v>
      </c>
      <c r="C75" t="s">
        <v>120</v>
      </c>
    </row>
    <row r="76" spans="1:3">
      <c r="A76" t="s">
        <v>181</v>
      </c>
      <c r="C76" t="s">
        <v>182</v>
      </c>
    </row>
    <row r="77" spans="1:3">
      <c r="A77" t="s">
        <v>183</v>
      </c>
      <c r="C77" t="s">
        <v>97</v>
      </c>
    </row>
    <row r="79" spans="1:3">
      <c r="A79" t="s">
        <v>184</v>
      </c>
      <c r="C79" t="s">
        <v>185</v>
      </c>
    </row>
    <row r="80" spans="1:3">
      <c r="A80" t="s">
        <v>186</v>
      </c>
      <c r="C80" t="s">
        <v>187</v>
      </c>
    </row>
    <row r="81" spans="1:4">
      <c r="A81" t="s">
        <v>188</v>
      </c>
      <c r="C81" t="s">
        <v>189</v>
      </c>
    </row>
    <row r="82" spans="1:4">
      <c r="A82" t="s">
        <v>190</v>
      </c>
      <c r="C82" t="s">
        <v>95</v>
      </c>
    </row>
    <row r="83" spans="1:4">
      <c r="A83" t="s">
        <v>191</v>
      </c>
      <c r="C83" t="s">
        <v>192</v>
      </c>
    </row>
    <row r="84" spans="1:4">
      <c r="A84" t="s">
        <v>193</v>
      </c>
    </row>
    <row r="85" spans="1:4">
      <c r="A85" t="s">
        <v>194</v>
      </c>
      <c r="C85" t="s">
        <v>195</v>
      </c>
    </row>
    <row r="86" spans="1:4">
      <c r="A86" t="s">
        <v>196</v>
      </c>
      <c r="C86" t="s">
        <v>189</v>
      </c>
    </row>
    <row r="87" spans="1:4">
      <c r="A87" t="s">
        <v>197</v>
      </c>
      <c r="C87" t="s">
        <v>198</v>
      </c>
    </row>
    <row r="88" spans="1:4">
      <c r="A88" t="s">
        <v>199</v>
      </c>
      <c r="B88" t="s">
        <v>198</v>
      </c>
      <c r="C88" t="s">
        <v>200</v>
      </c>
    </row>
    <row r="89" spans="1:4">
      <c r="A89" t="s">
        <v>201</v>
      </c>
      <c r="C89" t="s">
        <v>202</v>
      </c>
      <c r="D89" t="s">
        <v>203</v>
      </c>
    </row>
    <row r="90" spans="1:4">
      <c r="A90" t="s">
        <v>204</v>
      </c>
      <c r="C90" t="s">
        <v>205</v>
      </c>
    </row>
    <row r="91" spans="1:4">
      <c r="A91" t="s">
        <v>206</v>
      </c>
      <c r="C91" t="s">
        <v>207</v>
      </c>
    </row>
    <row r="92" spans="1:4">
      <c r="A92" t="s">
        <v>208</v>
      </c>
    </row>
    <row r="93" spans="1:4">
      <c r="A93" t="s">
        <v>209</v>
      </c>
      <c r="C93" t="s">
        <v>210</v>
      </c>
    </row>
    <row r="94" spans="1:4">
      <c r="A94" t="s">
        <v>211</v>
      </c>
      <c r="C94" t="s">
        <v>212</v>
      </c>
    </row>
    <row r="95" spans="1:4">
      <c r="A95" t="s">
        <v>213</v>
      </c>
      <c r="C95" t="s">
        <v>212</v>
      </c>
    </row>
    <row r="97" spans="4:5">
      <c r="D97" t="s">
        <v>214</v>
      </c>
      <c r="E97" s="29">
        <f>SUM(E1:E96)</f>
        <v>1420</v>
      </c>
    </row>
  </sheetData>
  <phoneticPr fontId="5" type="noConversion"/>
  <pageMargins left="0.7" right="0.7" top="0.75" bottom="0.75" header="0.3" footer="0.3"/>
  <pageSetup orientation="portrait" r:id="rId1"/>
  <headerFooter>
    <oddFooter>&amp;C&amp;1#&amp;"Calibri"&amp;9&amp;K000000Information Classification: GENERAL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DC250-7403-4554-BCF3-E09D4DF70563}">
  <dimension ref="A1:Z287"/>
  <sheetViews>
    <sheetView tabSelected="1" zoomScale="86" zoomScaleNormal="86" workbookViewId="0">
      <pane ySplit="1" topLeftCell="A177" activePane="bottomLeft" state="frozen"/>
      <selection pane="bottomLeft" activeCell="I184" sqref="I184"/>
    </sheetView>
  </sheetViews>
  <sheetFormatPr defaultColWidth="12" defaultRowHeight="41.7" customHeight="1"/>
  <cols>
    <col min="2" max="2" width="15.109375" customWidth="1"/>
    <col min="3" max="3" width="15.88671875" customWidth="1"/>
    <col min="4" max="4" width="15.109375" customWidth="1"/>
    <col min="5" max="5" width="16" customWidth="1"/>
    <col min="6" max="6" width="15.109375" customWidth="1"/>
    <col min="7" max="7" width="18" customWidth="1"/>
    <col min="8" max="8" width="17.88671875" customWidth="1"/>
    <col min="9" max="9" width="40.5546875" customWidth="1"/>
    <col min="10" max="10" width="13.33203125" customWidth="1"/>
    <col min="11" max="11" width="15" customWidth="1"/>
    <col min="12" max="12" width="16.33203125" customWidth="1"/>
    <col min="13" max="13" width="11.44140625" customWidth="1"/>
    <col min="14" max="14" width="14" customWidth="1"/>
    <col min="15" max="15" width="11.5546875" customWidth="1"/>
    <col min="16" max="16" width="12.88671875" customWidth="1"/>
    <col min="17" max="17" width="11.109375" customWidth="1"/>
    <col min="18" max="18" width="19.5546875" customWidth="1"/>
    <col min="19" max="19" width="15.44140625" customWidth="1"/>
  </cols>
  <sheetData>
    <row r="1" spans="2:26" ht="18" customHeight="1">
      <c r="B1" s="49" t="s">
        <v>215</v>
      </c>
      <c r="C1" s="49" t="s">
        <v>216</v>
      </c>
      <c r="D1" s="49" t="s">
        <v>217</v>
      </c>
      <c r="E1" s="49" t="s">
        <v>218</v>
      </c>
      <c r="F1" s="49" t="s">
        <v>219</v>
      </c>
      <c r="G1" s="49" t="s">
        <v>220</v>
      </c>
      <c r="H1" s="49" t="s">
        <v>221</v>
      </c>
      <c r="I1" s="4">
        <f>30-SUM(C170:H210)</f>
        <v>24</v>
      </c>
      <c r="L1" t="s">
        <v>1142</v>
      </c>
      <c r="M1" s="185">
        <f>28-SUM(M168:M210)</f>
        <v>5</v>
      </c>
      <c r="O1" s="59" t="s">
        <v>222</v>
      </c>
      <c r="P1" s="32">
        <f>R1/Q1</f>
        <v>0.2</v>
      </c>
      <c r="Q1" s="79">
        <v>55</v>
      </c>
      <c r="R1" s="78">
        <f>Q1-S1</f>
        <v>11</v>
      </c>
      <c r="S1" s="78">
        <v>44</v>
      </c>
      <c r="U1" s="40" t="s">
        <v>223</v>
      </c>
      <c r="V1" t="s">
        <v>224</v>
      </c>
      <c r="X1" t="s">
        <v>225</v>
      </c>
      <c r="Z1" t="s">
        <v>226</v>
      </c>
    </row>
    <row r="2" spans="2:26" ht="41.7" hidden="1" customHeight="1">
      <c r="B2" s="61">
        <v>44563</v>
      </c>
      <c r="C2" s="48"/>
      <c r="D2" s="48"/>
      <c r="E2" s="48"/>
      <c r="F2" s="48"/>
      <c r="G2" s="56">
        <v>1</v>
      </c>
      <c r="H2" s="48"/>
    </row>
    <row r="3" spans="2:26" ht="41.7" hidden="1" customHeight="1">
      <c r="B3" s="61">
        <f>B2+7</f>
        <v>44570</v>
      </c>
      <c r="C3" s="48"/>
      <c r="D3" s="48"/>
      <c r="E3" s="48"/>
      <c r="F3" s="48"/>
      <c r="G3" s="48"/>
      <c r="H3" s="48"/>
    </row>
    <row r="4" spans="2:26" ht="41.7" hidden="1" customHeight="1">
      <c r="B4" s="61">
        <f t="shared" ref="B4:B67" si="0">B3+7</f>
        <v>44577</v>
      </c>
      <c r="C4" s="48"/>
      <c r="D4" s="48"/>
      <c r="E4" s="48"/>
      <c r="F4" s="48"/>
      <c r="G4" s="48"/>
      <c r="H4" s="48"/>
    </row>
    <row r="5" spans="2:26" ht="41.7" hidden="1" customHeight="1">
      <c r="B5" s="61">
        <f t="shared" si="0"/>
        <v>44584</v>
      </c>
      <c r="C5" s="48"/>
      <c r="D5" s="48"/>
      <c r="E5" s="48"/>
      <c r="F5" s="48"/>
      <c r="G5" s="48"/>
      <c r="H5" s="48"/>
    </row>
    <row r="6" spans="2:26" ht="41.7" hidden="1" customHeight="1">
      <c r="B6" s="61">
        <f t="shared" si="0"/>
        <v>44591</v>
      </c>
      <c r="C6" s="233">
        <v>2</v>
      </c>
      <c r="D6" s="235"/>
      <c r="E6" s="48"/>
      <c r="F6" s="48"/>
      <c r="G6" s="48"/>
      <c r="H6" s="48"/>
    </row>
    <row r="7" spans="2:26" ht="41.7" hidden="1" customHeight="1">
      <c r="B7" s="61">
        <f t="shared" si="0"/>
        <v>44598</v>
      </c>
      <c r="C7" s="48"/>
      <c r="D7" s="48"/>
      <c r="E7" s="48"/>
      <c r="F7" s="48"/>
      <c r="G7" s="48"/>
      <c r="H7" s="48"/>
    </row>
    <row r="8" spans="2:26" ht="41.7" hidden="1" customHeight="1">
      <c r="B8" s="61">
        <f t="shared" si="0"/>
        <v>44605</v>
      </c>
      <c r="C8" s="48"/>
      <c r="D8" s="48"/>
      <c r="E8" s="48"/>
      <c r="F8" s="48"/>
      <c r="G8" s="48"/>
      <c r="H8" s="48"/>
    </row>
    <row r="9" spans="2:26" ht="41.7" hidden="1" customHeight="1">
      <c r="B9" s="61">
        <f t="shared" si="0"/>
        <v>44612</v>
      </c>
      <c r="C9" s="48"/>
      <c r="D9" s="48"/>
      <c r="E9" s="48"/>
      <c r="F9" s="48"/>
      <c r="G9" s="48"/>
      <c r="H9" s="48"/>
    </row>
    <row r="10" spans="2:26" ht="41.7" hidden="1" customHeight="1">
      <c r="B10" s="61">
        <f t="shared" si="0"/>
        <v>44619</v>
      </c>
      <c r="C10" s="41"/>
      <c r="D10" s="41"/>
      <c r="E10" s="41"/>
      <c r="F10" s="41"/>
      <c r="G10" s="41"/>
      <c r="H10" s="41" t="s">
        <v>227</v>
      </c>
    </row>
    <row r="11" spans="2:26" ht="41.7" hidden="1" customHeight="1">
      <c r="B11" s="61">
        <f t="shared" si="0"/>
        <v>44626</v>
      </c>
      <c r="C11" s="41"/>
      <c r="D11" s="41"/>
      <c r="E11" s="41"/>
      <c r="F11" s="41"/>
      <c r="H11" s="41" t="s">
        <v>228</v>
      </c>
    </row>
    <row r="12" spans="2:26" ht="41.7" hidden="1" customHeight="1">
      <c r="B12" s="61">
        <f t="shared" si="0"/>
        <v>44633</v>
      </c>
      <c r="C12" s="41"/>
      <c r="D12" s="41"/>
      <c r="E12" s="41"/>
      <c r="F12" s="41"/>
      <c r="G12" s="41" t="s">
        <v>229</v>
      </c>
      <c r="H12" s="48" t="s">
        <v>230</v>
      </c>
    </row>
    <row r="13" spans="2:26" ht="41.7" hidden="1" customHeight="1">
      <c r="B13" s="61">
        <f t="shared" si="0"/>
        <v>44640</v>
      </c>
      <c r="C13" s="41"/>
      <c r="D13" s="41"/>
      <c r="E13" s="41"/>
      <c r="F13" s="41"/>
      <c r="G13" s="41" t="s">
        <v>231</v>
      </c>
      <c r="H13" s="41" t="s">
        <v>232</v>
      </c>
    </row>
    <row r="14" spans="2:26" ht="41.7" hidden="1" customHeight="1">
      <c r="B14" s="61">
        <f t="shared" si="0"/>
        <v>44647</v>
      </c>
      <c r="C14" s="41"/>
      <c r="D14" s="41"/>
      <c r="E14" s="41"/>
      <c r="F14" s="41"/>
      <c r="G14" s="41"/>
      <c r="H14" s="41" t="s">
        <v>233</v>
      </c>
    </row>
    <row r="15" spans="2:26" ht="41.7" hidden="1" customHeight="1">
      <c r="B15" s="61">
        <f t="shared" si="0"/>
        <v>44654</v>
      </c>
      <c r="C15" s="41"/>
      <c r="D15" s="41"/>
      <c r="E15" s="41"/>
      <c r="F15" s="41"/>
      <c r="G15" s="41"/>
      <c r="H15" s="41" t="s">
        <v>234</v>
      </c>
      <c r="P15" s="65"/>
    </row>
    <row r="16" spans="2:26" ht="41.7" hidden="1" customHeight="1">
      <c r="B16" s="61">
        <f t="shared" si="0"/>
        <v>44661</v>
      </c>
      <c r="C16" s="233">
        <v>4</v>
      </c>
      <c r="D16" s="234"/>
      <c r="E16" s="234"/>
      <c r="F16" s="235"/>
      <c r="G16" s="62"/>
      <c r="H16" s="48"/>
    </row>
    <row r="17" spans="2:8" ht="41.7" hidden="1" customHeight="1">
      <c r="B17" s="61">
        <f t="shared" si="0"/>
        <v>44668</v>
      </c>
      <c r="C17" s="62"/>
      <c r="D17" s="41"/>
      <c r="E17" s="48" t="s">
        <v>235</v>
      </c>
      <c r="F17" s="48"/>
      <c r="G17" s="48"/>
      <c r="H17" s="41" t="s">
        <v>236</v>
      </c>
    </row>
    <row r="18" spans="2:8" ht="41.7" hidden="1" customHeight="1">
      <c r="B18" s="61">
        <f t="shared" si="0"/>
        <v>44675</v>
      </c>
      <c r="C18" s="48"/>
      <c r="D18" s="48"/>
      <c r="E18" s="48" t="s">
        <v>235</v>
      </c>
      <c r="F18" s="48"/>
      <c r="G18" s="48"/>
      <c r="H18" s="48"/>
    </row>
    <row r="19" spans="2:8" ht="41.7" hidden="1" customHeight="1">
      <c r="B19" s="61">
        <f t="shared" si="0"/>
        <v>44682</v>
      </c>
      <c r="C19" s="62"/>
      <c r="D19" s="48"/>
      <c r="F19" s="48" t="s">
        <v>237</v>
      </c>
      <c r="G19" s="66"/>
      <c r="H19" s="48"/>
    </row>
    <row r="20" spans="2:8" ht="41.7" hidden="1" customHeight="1">
      <c r="B20" s="61">
        <f t="shared" si="0"/>
        <v>44689</v>
      </c>
      <c r="C20" s="48"/>
      <c r="D20" s="48"/>
      <c r="E20" s="41" t="s">
        <v>238</v>
      </c>
      <c r="F20" s="48"/>
      <c r="G20" s="66"/>
      <c r="H20" s="48" t="s">
        <v>239</v>
      </c>
    </row>
    <row r="21" spans="2:8" ht="41.7" hidden="1" customHeight="1">
      <c r="B21" s="61">
        <f t="shared" si="0"/>
        <v>44696</v>
      </c>
      <c r="C21" s="48"/>
      <c r="D21" s="48" t="s">
        <v>240</v>
      </c>
      <c r="E21" s="48" t="s">
        <v>241</v>
      </c>
      <c r="F21" s="48"/>
      <c r="G21" s="66"/>
      <c r="H21" s="48"/>
    </row>
    <row r="22" spans="2:8" ht="41.7" hidden="1" customHeight="1">
      <c r="B22" s="61">
        <f t="shared" si="0"/>
        <v>44703</v>
      </c>
      <c r="C22" s="48"/>
      <c r="D22" s="48"/>
      <c r="E22" s="48"/>
      <c r="F22" s="233">
        <v>2</v>
      </c>
      <c r="G22" s="235"/>
      <c r="H22" s="48"/>
    </row>
    <row r="23" spans="2:8" ht="41.7" hidden="1" customHeight="1">
      <c r="B23" s="61">
        <f t="shared" si="0"/>
        <v>44710</v>
      </c>
      <c r="C23" s="48"/>
      <c r="D23" s="48" t="s">
        <v>242</v>
      </c>
      <c r="E23" s="48"/>
      <c r="F23" s="62"/>
      <c r="G23" s="62"/>
      <c r="H23" s="48"/>
    </row>
    <row r="24" spans="2:8" ht="41.7" hidden="1" customHeight="1">
      <c r="B24" s="61">
        <f t="shared" si="0"/>
        <v>44717</v>
      </c>
      <c r="C24" s="48"/>
      <c r="D24" s="48"/>
      <c r="E24" s="233">
        <v>3</v>
      </c>
      <c r="F24" s="234"/>
      <c r="G24" s="235"/>
      <c r="H24" s="48"/>
    </row>
    <row r="25" spans="2:8" ht="41.7" hidden="1" customHeight="1">
      <c r="B25" s="61">
        <f t="shared" si="0"/>
        <v>44724</v>
      </c>
      <c r="C25" s="48"/>
      <c r="D25" s="48"/>
      <c r="E25" s="48"/>
      <c r="F25" s="48"/>
      <c r="G25" s="48"/>
      <c r="H25" s="48"/>
    </row>
    <row r="26" spans="2:8" ht="41.7" hidden="1" customHeight="1">
      <c r="B26" s="61">
        <f t="shared" si="0"/>
        <v>44731</v>
      </c>
      <c r="C26" s="48"/>
      <c r="D26" s="48"/>
      <c r="E26" s="48"/>
      <c r="F26" s="48"/>
      <c r="G26" s="48"/>
      <c r="H26" s="48"/>
    </row>
    <row r="27" spans="2:8" ht="41.7" hidden="1" customHeight="1">
      <c r="B27" s="61">
        <f t="shared" si="0"/>
        <v>44738</v>
      </c>
      <c r="C27" s="48"/>
      <c r="D27" s="48"/>
      <c r="E27" s="48" t="s">
        <v>243</v>
      </c>
      <c r="F27" s="48"/>
      <c r="G27" s="48"/>
      <c r="H27" s="48"/>
    </row>
    <row r="28" spans="2:8" ht="41.7" hidden="1" customHeight="1">
      <c r="B28" s="61">
        <f>B27+7</f>
        <v>44745</v>
      </c>
      <c r="C28" s="48" t="s">
        <v>244</v>
      </c>
      <c r="D28" s="48"/>
      <c r="E28" s="48"/>
      <c r="F28" s="48"/>
      <c r="G28" s="64">
        <v>1</v>
      </c>
      <c r="H28" s="48"/>
    </row>
    <row r="29" spans="2:8" ht="41.7" hidden="1" customHeight="1">
      <c r="B29" s="61">
        <f t="shared" si="0"/>
        <v>44752</v>
      </c>
      <c r="C29" s="48"/>
      <c r="D29" s="48"/>
      <c r="E29" s="48"/>
      <c r="F29" s="48"/>
      <c r="G29" s="48"/>
      <c r="H29" s="48"/>
    </row>
    <row r="30" spans="2:8" ht="41.7" hidden="1" customHeight="1">
      <c r="B30" s="61">
        <f t="shared" si="0"/>
        <v>44759</v>
      </c>
      <c r="C30" s="48"/>
      <c r="D30" s="48"/>
      <c r="E30" s="48"/>
      <c r="F30" s="48"/>
      <c r="G30" s="48"/>
      <c r="H30" s="48"/>
    </row>
    <row r="31" spans="2:8" ht="41.7" hidden="1" customHeight="1">
      <c r="B31" s="61">
        <f t="shared" si="0"/>
        <v>44766</v>
      </c>
      <c r="C31" s="233">
        <v>5</v>
      </c>
      <c r="D31" s="234"/>
      <c r="E31" s="234"/>
      <c r="F31" s="234"/>
      <c r="G31" s="235"/>
      <c r="H31" s="48"/>
    </row>
    <row r="32" spans="2:8" ht="41.7" hidden="1" customHeight="1">
      <c r="B32" s="61">
        <f t="shared" si="0"/>
        <v>44773</v>
      </c>
      <c r="C32" s="233">
        <v>5</v>
      </c>
      <c r="D32" s="234"/>
      <c r="E32" s="234"/>
      <c r="F32" s="234"/>
      <c r="G32" s="235"/>
      <c r="H32" s="48"/>
    </row>
    <row r="33" spans="2:8" ht="41.7" hidden="1" customHeight="1">
      <c r="B33" s="61">
        <f t="shared" si="0"/>
        <v>44780</v>
      </c>
      <c r="C33" s="48"/>
      <c r="D33" s="48"/>
      <c r="E33" s="48"/>
      <c r="F33" s="48"/>
      <c r="G33" s="48"/>
      <c r="H33" s="48"/>
    </row>
    <row r="34" spans="2:8" ht="41.7" hidden="1" customHeight="1">
      <c r="B34" s="61">
        <f t="shared" si="0"/>
        <v>44787</v>
      </c>
      <c r="C34" s="48"/>
      <c r="D34" s="48"/>
      <c r="E34" s="48"/>
      <c r="F34" s="48"/>
      <c r="G34" s="48"/>
      <c r="H34" s="48"/>
    </row>
    <row r="35" spans="2:8" ht="41.7" hidden="1" customHeight="1">
      <c r="B35" s="61">
        <f t="shared" si="0"/>
        <v>44794</v>
      </c>
      <c r="C35" s="67" t="s">
        <v>245</v>
      </c>
      <c r="D35" s="48"/>
      <c r="E35" s="48"/>
      <c r="F35" s="48"/>
      <c r="G35" s="48"/>
      <c r="H35" s="48"/>
    </row>
    <row r="36" spans="2:8" ht="41.7" hidden="1" customHeight="1">
      <c r="B36" s="61">
        <f t="shared" si="0"/>
        <v>44801</v>
      </c>
      <c r="C36" s="62"/>
      <c r="D36" s="48"/>
      <c r="E36" s="48" t="s">
        <v>246</v>
      </c>
      <c r="F36" s="48"/>
      <c r="G36" s="48" t="s">
        <v>247</v>
      </c>
      <c r="H36" s="48"/>
    </row>
    <row r="37" spans="2:8" ht="40.200000000000003" hidden="1" customHeight="1">
      <c r="B37" s="61">
        <f t="shared" si="0"/>
        <v>44808</v>
      </c>
      <c r="C37" s="48"/>
      <c r="D37" s="48"/>
      <c r="E37" s="48"/>
      <c r="F37" s="48"/>
      <c r="G37" s="48"/>
      <c r="H37" s="48"/>
    </row>
    <row r="38" spans="2:8" ht="41.7" hidden="1" customHeight="1">
      <c r="B38" s="61">
        <f t="shared" si="0"/>
        <v>44815</v>
      </c>
      <c r="C38" s="48"/>
      <c r="D38" s="48"/>
      <c r="E38" s="48"/>
      <c r="F38" s="48"/>
      <c r="G38" s="48"/>
      <c r="H38" s="48"/>
    </row>
    <row r="39" spans="2:8" ht="41.7" hidden="1" customHeight="1">
      <c r="B39" s="61">
        <f t="shared" si="0"/>
        <v>44822</v>
      </c>
      <c r="C39" s="62"/>
      <c r="D39" s="41" t="s">
        <v>248</v>
      </c>
      <c r="E39" s="48" t="s">
        <v>249</v>
      </c>
      <c r="F39" s="48"/>
      <c r="G39" t="s">
        <v>250</v>
      </c>
      <c r="H39" s="48"/>
    </row>
    <row r="40" spans="2:8" ht="41.7" hidden="1" customHeight="1">
      <c r="B40" s="61">
        <f t="shared" si="0"/>
        <v>44829</v>
      </c>
      <c r="D40" s="48" t="s">
        <v>251</v>
      </c>
      <c r="E40" s="48"/>
      <c r="F40" s="48"/>
      <c r="G40" s="64">
        <v>1</v>
      </c>
      <c r="H40" s="48"/>
    </row>
    <row r="41" spans="2:8" ht="41.7" hidden="1" customHeight="1">
      <c r="B41" s="61">
        <f t="shared" si="0"/>
        <v>44836</v>
      </c>
      <c r="C41" s="64">
        <v>1</v>
      </c>
      <c r="D41" s="41" t="s">
        <v>252</v>
      </c>
      <c r="E41" s="48"/>
      <c r="F41" s="48"/>
      <c r="G41" s="48"/>
      <c r="H41" s="48"/>
    </row>
    <row r="42" spans="2:8" ht="41.7" hidden="1" customHeight="1">
      <c r="B42" s="61">
        <f t="shared" si="0"/>
        <v>44843</v>
      </c>
      <c r="C42" s="48"/>
      <c r="D42" s="48"/>
      <c r="E42" s="48" t="s">
        <v>253</v>
      </c>
      <c r="F42" s="48"/>
      <c r="G42" s="48"/>
      <c r="H42" s="48"/>
    </row>
    <row r="43" spans="2:8" ht="41.7" hidden="1" customHeight="1">
      <c r="B43" s="61">
        <f t="shared" si="0"/>
        <v>44850</v>
      </c>
      <c r="C43" s="48"/>
      <c r="D43" s="48"/>
      <c r="E43" s="48"/>
      <c r="F43" s="48"/>
      <c r="G43" s="48"/>
      <c r="H43" s="48"/>
    </row>
    <row r="44" spans="2:8" ht="41.7" hidden="1" customHeight="1">
      <c r="B44" s="61">
        <f t="shared" si="0"/>
        <v>44857</v>
      </c>
      <c r="C44" s="48"/>
      <c r="D44" s="48"/>
      <c r="E44" s="64">
        <v>1</v>
      </c>
      <c r="F44" s="48"/>
      <c r="G44" s="48"/>
      <c r="H44" s="48"/>
    </row>
    <row r="45" spans="2:8" ht="41.7" hidden="1" customHeight="1">
      <c r="B45" s="61">
        <f>B44+7</f>
        <v>44864</v>
      </c>
      <c r="C45" s="48"/>
      <c r="D45" s="48"/>
      <c r="E45" s="48"/>
      <c r="F45" s="48"/>
      <c r="G45" s="48"/>
      <c r="H45" s="48"/>
    </row>
    <row r="46" spans="2:8" ht="41.7" hidden="1" customHeight="1">
      <c r="B46" s="21">
        <f t="shared" si="0"/>
        <v>44871</v>
      </c>
      <c r="C46" s="48"/>
      <c r="D46" s="48"/>
      <c r="E46" s="48"/>
      <c r="F46" s="48"/>
      <c r="G46" s="48"/>
      <c r="H46" s="48"/>
    </row>
    <row r="47" spans="2:8" ht="41.7" hidden="1" customHeight="1">
      <c r="B47" s="61">
        <f t="shared" si="0"/>
        <v>44878</v>
      </c>
      <c r="C47" s="48"/>
      <c r="D47" s="48"/>
      <c r="E47" s="48"/>
      <c r="F47" s="48"/>
      <c r="G47" s="48"/>
      <c r="H47" s="48"/>
    </row>
    <row r="48" spans="2:8" ht="41.7" hidden="1" customHeight="1">
      <c r="B48" s="21">
        <f t="shared" si="0"/>
        <v>44885</v>
      </c>
      <c r="C48" s="48"/>
      <c r="D48" s="48"/>
      <c r="E48" s="48"/>
      <c r="F48" s="48"/>
      <c r="G48" s="48"/>
      <c r="H48" s="48"/>
    </row>
    <row r="49" spans="2:13" ht="41.7" hidden="1" customHeight="1">
      <c r="B49" s="61">
        <f t="shared" si="0"/>
        <v>44892</v>
      </c>
      <c r="C49" s="48"/>
      <c r="D49" s="48"/>
      <c r="E49" s="48"/>
      <c r="F49" s="48"/>
      <c r="G49" s="48"/>
      <c r="H49" s="48"/>
    </row>
    <row r="50" spans="2:13" ht="41.7" hidden="1" customHeight="1">
      <c r="B50" s="21">
        <f t="shared" si="0"/>
        <v>44899</v>
      </c>
      <c r="C50" s="48"/>
      <c r="D50" s="48"/>
      <c r="E50" s="48"/>
      <c r="F50" s="48"/>
      <c r="G50" s="48"/>
      <c r="H50" s="48"/>
    </row>
    <row r="51" spans="2:13" ht="41.7" hidden="1" customHeight="1">
      <c r="B51" s="61">
        <f t="shared" si="0"/>
        <v>44906</v>
      </c>
      <c r="C51" s="48"/>
      <c r="D51" s="48"/>
      <c r="E51" s="233">
        <v>3</v>
      </c>
      <c r="F51" s="234"/>
      <c r="G51" s="235"/>
      <c r="H51" s="48"/>
    </row>
    <row r="52" spans="2:13" ht="41.7" hidden="1" customHeight="1">
      <c r="B52" s="21">
        <f t="shared" si="0"/>
        <v>44913</v>
      </c>
      <c r="C52" s="48"/>
      <c r="D52" s="48"/>
      <c r="E52" s="48"/>
      <c r="F52" s="48"/>
      <c r="G52" s="64">
        <v>1</v>
      </c>
      <c r="H52" s="48"/>
    </row>
    <row r="53" spans="2:13" ht="41.7" hidden="1" customHeight="1">
      <c r="B53" s="61">
        <f t="shared" si="0"/>
        <v>44920</v>
      </c>
      <c r="C53" s="62"/>
      <c r="D53" s="62"/>
      <c r="E53" s="48"/>
      <c r="F53" s="48"/>
      <c r="G53" s="48"/>
      <c r="H53" s="48"/>
    </row>
    <row r="54" spans="2:13" ht="41.7" hidden="1" customHeight="1">
      <c r="B54" s="61">
        <f t="shared" si="0"/>
        <v>44927</v>
      </c>
      <c r="C54" s="62"/>
      <c r="D54" s="48"/>
      <c r="E54" s="48"/>
      <c r="F54" s="48"/>
      <c r="G54" s="48"/>
      <c r="H54" s="48"/>
      <c r="M54" s="21">
        <v>44927</v>
      </c>
    </row>
    <row r="55" spans="2:13" ht="41.7" hidden="1" customHeight="1">
      <c r="B55" s="61">
        <f t="shared" si="0"/>
        <v>44934</v>
      </c>
      <c r="C55" s="48"/>
      <c r="D55" s="48"/>
      <c r="E55" s="48"/>
      <c r="F55" s="48"/>
      <c r="G55" s="64">
        <v>1</v>
      </c>
      <c r="H55" s="48"/>
      <c r="M55" s="21">
        <v>45251</v>
      </c>
    </row>
    <row r="56" spans="2:13" ht="41.7" hidden="1" customHeight="1">
      <c r="B56" s="61">
        <f t="shared" si="0"/>
        <v>44941</v>
      </c>
      <c r="C56" s="48"/>
      <c r="D56" s="48"/>
      <c r="E56" s="48"/>
      <c r="F56" s="48"/>
      <c r="G56" s="48"/>
      <c r="H56" s="48"/>
      <c r="M56">
        <f>M55-M54+1</f>
        <v>325</v>
      </c>
    </row>
    <row r="57" spans="2:13" ht="41.7" hidden="1" customHeight="1">
      <c r="B57" s="61">
        <f t="shared" si="0"/>
        <v>44948</v>
      </c>
      <c r="C57" s="48"/>
      <c r="D57" s="48"/>
      <c r="E57" s="64">
        <v>1</v>
      </c>
      <c r="F57" s="48"/>
      <c r="G57" s="48"/>
      <c r="H57" s="48"/>
    </row>
    <row r="58" spans="2:13" ht="41.7" hidden="1" customHeight="1">
      <c r="B58" s="61">
        <f t="shared" si="0"/>
        <v>44955</v>
      </c>
      <c r="C58" s="48"/>
      <c r="D58" s="48"/>
      <c r="E58" s="48"/>
      <c r="F58" s="48"/>
      <c r="G58" s="48"/>
      <c r="H58" s="48"/>
    </row>
    <row r="59" spans="2:13" ht="41.7" hidden="1" customHeight="1">
      <c r="B59" s="61">
        <f t="shared" si="0"/>
        <v>44962</v>
      </c>
      <c r="C59" s="48"/>
      <c r="D59" s="48"/>
      <c r="E59" s="48"/>
      <c r="F59" s="48"/>
      <c r="G59" s="48"/>
      <c r="H59" s="48"/>
    </row>
    <row r="60" spans="2:13" ht="41.7" hidden="1" customHeight="1">
      <c r="B60" s="61">
        <f t="shared" si="0"/>
        <v>44969</v>
      </c>
      <c r="C60" s="48"/>
      <c r="D60" s="48"/>
      <c r="E60" s="48"/>
      <c r="F60" s="48"/>
      <c r="G60" s="48"/>
      <c r="H60" s="48"/>
    </row>
    <row r="61" spans="2:13" ht="41.7" hidden="1" customHeight="1">
      <c r="B61" s="61">
        <f t="shared" si="0"/>
        <v>44976</v>
      </c>
      <c r="C61" s="48"/>
      <c r="D61" s="48"/>
      <c r="E61" s="48"/>
      <c r="F61" s="48"/>
      <c r="G61" s="48" t="s">
        <v>254</v>
      </c>
      <c r="H61" s="48"/>
    </row>
    <row r="62" spans="2:13" ht="41.7" hidden="1" customHeight="1">
      <c r="B62" s="61">
        <f t="shared" si="0"/>
        <v>44983</v>
      </c>
      <c r="C62" s="48"/>
      <c r="D62" s="48" t="s">
        <v>255</v>
      </c>
      <c r="E62" s="64"/>
      <c r="F62" s="48" t="s">
        <v>256</v>
      </c>
      <c r="G62" s="48" t="s">
        <v>257</v>
      </c>
      <c r="H62" s="48"/>
    </row>
    <row r="63" spans="2:13" ht="41.7" hidden="1" customHeight="1">
      <c r="B63" s="61">
        <f t="shared" si="0"/>
        <v>44990</v>
      </c>
      <c r="C63" s="48"/>
      <c r="D63" s="48"/>
      <c r="E63" s="48"/>
      <c r="F63" s="48"/>
      <c r="G63" s="48"/>
      <c r="H63" s="48"/>
    </row>
    <row r="64" spans="2:13" ht="41.7" hidden="1" customHeight="1">
      <c r="B64" s="61">
        <f t="shared" si="0"/>
        <v>44997</v>
      </c>
      <c r="C64" s="48"/>
      <c r="D64" s="48"/>
      <c r="E64" s="48"/>
      <c r="F64" s="233">
        <v>2</v>
      </c>
      <c r="G64" s="235"/>
      <c r="H64" s="48"/>
    </row>
    <row r="65" spans="2:8" ht="41.7" hidden="1" customHeight="1">
      <c r="B65" s="61">
        <f t="shared" si="0"/>
        <v>45004</v>
      </c>
      <c r="C65" s="48"/>
      <c r="D65" s="48"/>
      <c r="E65" s="48"/>
      <c r="F65" s="48"/>
      <c r="G65" s="48"/>
      <c r="H65" s="48"/>
    </row>
    <row r="66" spans="2:8" ht="41.7" hidden="1" customHeight="1">
      <c r="B66" s="61">
        <f t="shared" si="0"/>
        <v>45011</v>
      </c>
      <c r="C66" s="48" t="s">
        <v>258</v>
      </c>
      <c r="D66" s="64">
        <v>1</v>
      </c>
      <c r="E66" s="48"/>
      <c r="F66" s="48"/>
      <c r="G66" s="72"/>
      <c r="H66" s="48"/>
    </row>
    <row r="67" spans="2:8" ht="41.7" hidden="1" customHeight="1">
      <c r="B67" s="61">
        <f t="shared" si="0"/>
        <v>45018</v>
      </c>
      <c r="C67" s="48"/>
      <c r="D67" s="48"/>
      <c r="E67" s="48"/>
      <c r="F67" s="48"/>
      <c r="G67" s="62" t="s">
        <v>259</v>
      </c>
      <c r="H67" s="48"/>
    </row>
    <row r="68" spans="2:8" ht="41.7" hidden="1" customHeight="1">
      <c r="B68" s="61">
        <f t="shared" ref="B68:B131" si="1">B67+7</f>
        <v>45025</v>
      </c>
      <c r="C68" s="62"/>
      <c r="D68" s="48"/>
      <c r="E68" s="48"/>
      <c r="F68" s="48"/>
      <c r="G68" s="48"/>
      <c r="H68" s="48"/>
    </row>
    <row r="69" spans="2:8" ht="41.7" hidden="1" customHeight="1">
      <c r="B69" s="61">
        <f t="shared" si="1"/>
        <v>45032</v>
      </c>
      <c r="C69" s="48"/>
      <c r="D69" s="48"/>
      <c r="E69" s="48"/>
      <c r="F69" s="48"/>
      <c r="G69" s="48"/>
      <c r="H69" s="48"/>
    </row>
    <row r="70" spans="2:8" ht="41.7" hidden="1" customHeight="1">
      <c r="B70" s="61">
        <f t="shared" si="1"/>
        <v>45039</v>
      </c>
      <c r="C70" s="48"/>
      <c r="D70" s="48"/>
      <c r="E70" s="48"/>
      <c r="F70" s="48"/>
      <c r="G70" s="48"/>
      <c r="H70" s="48"/>
    </row>
    <row r="71" spans="2:8" ht="41.7" hidden="1" customHeight="1">
      <c r="B71" s="61">
        <f t="shared" si="1"/>
        <v>45046</v>
      </c>
      <c r="C71" s="62"/>
      <c r="D71" s="64">
        <v>1</v>
      </c>
      <c r="E71" s="48"/>
      <c r="F71" s="48"/>
      <c r="G71" s="48"/>
      <c r="H71" s="48"/>
    </row>
    <row r="72" spans="2:8" ht="41.7" hidden="1" customHeight="1">
      <c r="B72" s="61">
        <f t="shared" si="1"/>
        <v>45053</v>
      </c>
      <c r="C72" s="62"/>
      <c r="D72" s="48"/>
      <c r="E72" s="48"/>
      <c r="F72" s="48"/>
      <c r="G72" s="48"/>
      <c r="H72" s="48"/>
    </row>
    <row r="73" spans="2:8" ht="41.7" hidden="1" customHeight="1">
      <c r="B73" s="61">
        <f t="shared" si="1"/>
        <v>45060</v>
      </c>
      <c r="C73" s="48"/>
      <c r="D73" s="48"/>
      <c r="E73" s="48"/>
      <c r="F73" s="48"/>
      <c r="G73" s="48"/>
      <c r="H73" s="48"/>
    </row>
    <row r="74" spans="2:8" ht="41.7" hidden="1" customHeight="1">
      <c r="B74" s="61">
        <f t="shared" si="1"/>
        <v>45067</v>
      </c>
      <c r="C74" s="48"/>
      <c r="D74" s="48"/>
      <c r="E74" s="48"/>
      <c r="F74" s="74" t="s">
        <v>260</v>
      </c>
      <c r="G74" s="64">
        <v>1</v>
      </c>
      <c r="H74" s="48" t="s">
        <v>261</v>
      </c>
    </row>
    <row r="75" spans="2:8" ht="41.7" hidden="1" customHeight="1">
      <c r="B75" s="61">
        <f t="shared" si="1"/>
        <v>45074</v>
      </c>
      <c r="C75" s="62" t="s">
        <v>262</v>
      </c>
      <c r="D75" s="48"/>
      <c r="F75" s="48"/>
      <c r="G75" s="48"/>
      <c r="H75" s="48"/>
    </row>
    <row r="76" spans="2:8" ht="41.7" hidden="1" customHeight="1">
      <c r="B76" s="61">
        <f t="shared" si="1"/>
        <v>45081</v>
      </c>
      <c r="C76" s="64">
        <v>1</v>
      </c>
      <c r="D76" s="48"/>
      <c r="E76" s="48"/>
      <c r="F76" s="48"/>
      <c r="G76" s="48"/>
      <c r="H76" s="48"/>
    </row>
    <row r="77" spans="2:8" ht="41.7" hidden="1" customHeight="1">
      <c r="B77" s="61">
        <f t="shared" si="1"/>
        <v>45088</v>
      </c>
      <c r="C77" s="48"/>
      <c r="D77" s="48" t="s">
        <v>263</v>
      </c>
      <c r="E77" s="48"/>
      <c r="F77" s="48"/>
      <c r="G77" s="64" t="s">
        <v>264</v>
      </c>
      <c r="H77" s="48"/>
    </row>
    <row r="78" spans="2:8" ht="41.7" hidden="1" customHeight="1">
      <c r="B78" s="61">
        <f t="shared" si="1"/>
        <v>45095</v>
      </c>
      <c r="C78" s="48"/>
      <c r="D78" s="48"/>
      <c r="E78" s="48"/>
      <c r="F78" s="48"/>
      <c r="G78" s="48"/>
      <c r="H78" s="48"/>
    </row>
    <row r="79" spans="2:8" ht="41.7" hidden="1" customHeight="1">
      <c r="B79" s="61">
        <f t="shared" si="1"/>
        <v>45102</v>
      </c>
      <c r="C79" s="48"/>
      <c r="D79" s="48"/>
      <c r="E79" s="48"/>
      <c r="F79" s="48"/>
      <c r="G79" s="48"/>
      <c r="H79" s="48"/>
    </row>
    <row r="80" spans="2:8" ht="41.7" hidden="1" customHeight="1">
      <c r="B80" s="61">
        <f t="shared" si="1"/>
        <v>45109</v>
      </c>
      <c r="C80" s="48"/>
      <c r="D80" s="41" t="s">
        <v>265</v>
      </c>
      <c r="E80" s="48"/>
      <c r="F80" s="48"/>
      <c r="G80" s="48"/>
      <c r="H80" s="48"/>
    </row>
    <row r="81" spans="2:14" ht="41.7" hidden="1" customHeight="1">
      <c r="B81" s="61">
        <f t="shared" si="1"/>
        <v>45116</v>
      </c>
      <c r="C81" s="48"/>
      <c r="D81" s="48"/>
      <c r="E81" s="48" t="s">
        <v>266</v>
      </c>
      <c r="F81" s="48"/>
      <c r="G81" s="64">
        <v>1</v>
      </c>
      <c r="H81" s="48"/>
    </row>
    <row r="82" spans="2:14" ht="41.7" hidden="1" customHeight="1">
      <c r="B82" s="61">
        <f t="shared" si="1"/>
        <v>45123</v>
      </c>
      <c r="C82" s="218" t="s">
        <v>237</v>
      </c>
      <c r="D82" s="236"/>
      <c r="E82" s="236"/>
      <c r="F82" s="236"/>
      <c r="G82" s="219"/>
      <c r="H82" s="48"/>
    </row>
    <row r="83" spans="2:14" ht="41.7" hidden="1" customHeight="1">
      <c r="B83" s="61">
        <f t="shared" si="1"/>
        <v>45130</v>
      </c>
      <c r="C83" s="237">
        <v>10</v>
      </c>
      <c r="D83" s="238"/>
      <c r="E83" s="238"/>
      <c r="F83" s="238"/>
      <c r="G83" s="239"/>
      <c r="H83" s="48"/>
    </row>
    <row r="84" spans="2:14" ht="41.7" hidden="1" customHeight="1">
      <c r="B84" s="61">
        <f t="shared" si="1"/>
        <v>45137</v>
      </c>
      <c r="C84" s="240"/>
      <c r="D84" s="241"/>
      <c r="E84" s="241"/>
      <c r="F84" s="241"/>
      <c r="G84" s="242"/>
      <c r="H84" s="48"/>
    </row>
    <row r="85" spans="2:14" ht="41.7" hidden="1" customHeight="1">
      <c r="B85" s="61">
        <f t="shared" si="1"/>
        <v>45144</v>
      </c>
      <c r="C85" s="218" t="s">
        <v>267</v>
      </c>
      <c r="D85" s="236"/>
      <c r="E85" s="236"/>
      <c r="F85" s="236"/>
      <c r="G85" s="219"/>
      <c r="H85" s="48"/>
    </row>
    <row r="86" spans="2:14" ht="41.7" hidden="1" customHeight="1">
      <c r="B86" s="61">
        <f t="shared" si="1"/>
        <v>45151</v>
      </c>
      <c r="C86" s="48"/>
      <c r="D86" s="48"/>
      <c r="E86" s="48"/>
      <c r="F86" s="48"/>
      <c r="G86" s="48"/>
      <c r="H86" s="48"/>
    </row>
    <row r="87" spans="2:14" ht="41.7" hidden="1" customHeight="1">
      <c r="B87" s="61">
        <f t="shared" si="1"/>
        <v>45158</v>
      </c>
      <c r="C87" s="48"/>
      <c r="D87" s="48"/>
      <c r="E87" s="48"/>
      <c r="F87" s="234">
        <v>2</v>
      </c>
      <c r="G87" s="235"/>
      <c r="H87" s="48"/>
    </row>
    <row r="88" spans="2:14" ht="41.7" hidden="1" customHeight="1">
      <c r="B88" s="61">
        <f t="shared" si="1"/>
        <v>45165</v>
      </c>
      <c r="C88" s="62"/>
      <c r="D88" s="48"/>
      <c r="E88" s="48" t="s">
        <v>266</v>
      </c>
      <c r="F88" s="48"/>
      <c r="G88" s="48"/>
      <c r="H88" s="48"/>
    </row>
    <row r="89" spans="2:14" ht="41.7" hidden="1" customHeight="1">
      <c r="B89" s="61">
        <f t="shared" si="1"/>
        <v>45172</v>
      </c>
      <c r="C89" s="48"/>
      <c r="D89" s="48"/>
      <c r="E89" s="48"/>
      <c r="F89" s="48"/>
      <c r="G89" s="64">
        <v>1</v>
      </c>
      <c r="H89" s="48"/>
    </row>
    <row r="90" spans="2:14" ht="41.7" hidden="1" customHeight="1">
      <c r="B90" s="61">
        <f t="shared" si="1"/>
        <v>45179</v>
      </c>
      <c r="C90" s="233">
        <v>2</v>
      </c>
      <c r="D90" s="235"/>
      <c r="E90" s="48"/>
      <c r="F90" s="48"/>
      <c r="G90" s="48"/>
      <c r="H90" s="82"/>
      <c r="I90" t="s">
        <v>268</v>
      </c>
      <c r="J90">
        <v>68.599999999999994</v>
      </c>
      <c r="L90" s="32">
        <v>0.37</v>
      </c>
      <c r="M90" s="78">
        <f>J90*(1-L90)</f>
        <v>43.217999999999996</v>
      </c>
    </row>
    <row r="91" spans="2:14" ht="41.7" hidden="1" customHeight="1">
      <c r="B91" s="61">
        <f t="shared" si="1"/>
        <v>45186</v>
      </c>
      <c r="C91" s="48"/>
      <c r="D91" s="48"/>
      <c r="E91" s="48"/>
      <c r="F91" s="48"/>
      <c r="G91" s="48"/>
      <c r="H91" s="75"/>
      <c r="I91" t="s">
        <v>269</v>
      </c>
      <c r="J91">
        <v>66.400000000000006</v>
      </c>
    </row>
    <row r="92" spans="2:14" ht="41.7" hidden="1" customHeight="1">
      <c r="B92" s="61">
        <f t="shared" si="1"/>
        <v>45193</v>
      </c>
      <c r="C92" s="48"/>
      <c r="D92" s="48"/>
      <c r="E92" s="48"/>
      <c r="F92" s="48"/>
      <c r="G92" s="48"/>
      <c r="H92" s="48"/>
      <c r="I92" t="s">
        <v>270</v>
      </c>
      <c r="J92">
        <v>65.5</v>
      </c>
      <c r="L92" s="32">
        <v>0.35565476190476197</v>
      </c>
      <c r="M92">
        <v>43.3</v>
      </c>
    </row>
    <row r="93" spans="2:14" ht="41.7" hidden="1" customHeight="1">
      <c r="B93" s="61">
        <f t="shared" si="1"/>
        <v>45200</v>
      </c>
      <c r="C93" s="48"/>
      <c r="D93" s="48"/>
      <c r="E93" s="48"/>
      <c r="F93" s="48"/>
      <c r="G93" s="48"/>
      <c r="H93" s="48"/>
      <c r="I93" t="s">
        <v>271</v>
      </c>
      <c r="J93">
        <v>65.900000000000006</v>
      </c>
      <c r="L93" s="40"/>
      <c r="M93" s="40"/>
      <c r="N93" s="40"/>
    </row>
    <row r="94" spans="2:14" ht="41.7" hidden="1" customHeight="1">
      <c r="B94" s="61">
        <f t="shared" si="1"/>
        <v>45207</v>
      </c>
      <c r="C94" s="48"/>
      <c r="D94" s="48"/>
      <c r="E94" s="48"/>
      <c r="F94" s="48"/>
      <c r="G94" s="48"/>
      <c r="H94" s="75"/>
      <c r="I94" t="s">
        <v>272</v>
      </c>
      <c r="J94">
        <v>65.7</v>
      </c>
      <c r="L94" s="32">
        <v>0.32473444613050084</v>
      </c>
      <c r="M94">
        <v>44.5</v>
      </c>
    </row>
    <row r="95" spans="2:14" ht="41.7" hidden="1" customHeight="1">
      <c r="B95" s="61">
        <f t="shared" si="1"/>
        <v>45214</v>
      </c>
      <c r="C95" s="48"/>
      <c r="D95" s="48"/>
      <c r="E95" s="82"/>
      <c r="F95" s="48"/>
      <c r="G95" s="48"/>
      <c r="H95" s="48"/>
      <c r="I95" t="s">
        <v>273</v>
      </c>
      <c r="J95">
        <v>65.3</v>
      </c>
    </row>
    <row r="96" spans="2:14" ht="41.7" hidden="1" customHeight="1">
      <c r="B96" s="61">
        <f t="shared" si="1"/>
        <v>45221</v>
      </c>
      <c r="C96" s="48"/>
      <c r="D96" s="48"/>
      <c r="E96" s="48"/>
      <c r="F96" s="48"/>
      <c r="G96" s="48"/>
      <c r="H96" s="48"/>
      <c r="I96" t="s">
        <v>274</v>
      </c>
      <c r="J96">
        <v>64.3</v>
      </c>
      <c r="L96" s="32">
        <v>0.31888544891640858</v>
      </c>
      <c r="M96">
        <v>44</v>
      </c>
    </row>
    <row r="97" spans="2:14" ht="41.7" hidden="1" customHeight="1">
      <c r="B97" s="61">
        <f t="shared" si="1"/>
        <v>45228</v>
      </c>
      <c r="C97" s="48"/>
      <c r="D97" s="48"/>
      <c r="F97" s="48"/>
      <c r="G97" s="48"/>
      <c r="H97" s="48"/>
      <c r="I97" t="s">
        <v>275</v>
      </c>
      <c r="J97">
        <v>63.6</v>
      </c>
    </row>
    <row r="98" spans="2:14" ht="41.7" hidden="1" customHeight="1">
      <c r="B98" s="61">
        <f t="shared" si="1"/>
        <v>45235</v>
      </c>
      <c r="C98" s="48"/>
      <c r="D98" s="48"/>
      <c r="E98" s="48"/>
      <c r="F98" s="48"/>
      <c r="G98" s="48"/>
      <c r="H98" s="48"/>
      <c r="I98" t="s">
        <v>276</v>
      </c>
      <c r="J98">
        <v>63</v>
      </c>
      <c r="L98" s="32">
        <v>0.30805687203791465</v>
      </c>
      <c r="M98">
        <v>43.8</v>
      </c>
    </row>
    <row r="99" spans="2:14" ht="41.7" hidden="1" customHeight="1">
      <c r="B99" s="61">
        <f t="shared" si="1"/>
        <v>45242</v>
      </c>
      <c r="C99" s="48"/>
      <c r="D99" s="48"/>
      <c r="E99" s="48"/>
      <c r="F99" s="48"/>
      <c r="G99" s="48"/>
      <c r="H99" s="48"/>
      <c r="I99" t="s">
        <v>277</v>
      </c>
      <c r="J99">
        <v>62.9</v>
      </c>
      <c r="N99" s="80"/>
    </row>
    <row r="100" spans="2:14" ht="41.7" hidden="1" customHeight="1">
      <c r="B100" s="61">
        <f t="shared" si="1"/>
        <v>45249</v>
      </c>
      <c r="C100" s="48"/>
      <c r="D100" s="82"/>
      <c r="E100" s="48"/>
      <c r="F100" s="48"/>
      <c r="G100" s="48"/>
      <c r="H100" s="48"/>
      <c r="I100" t="s">
        <v>278</v>
      </c>
      <c r="J100">
        <v>62.3</v>
      </c>
      <c r="L100" s="80">
        <v>0.28999999999999998</v>
      </c>
      <c r="M100" s="78">
        <f>J100*(1-L100)</f>
        <v>44.232999999999997</v>
      </c>
      <c r="N100" s="80"/>
    </row>
    <row r="101" spans="2:14" ht="41.7" hidden="1" customHeight="1">
      <c r="B101" s="61">
        <f t="shared" si="1"/>
        <v>45256</v>
      </c>
      <c r="C101" s="48"/>
      <c r="D101" s="48"/>
      <c r="E101" s="48"/>
      <c r="F101" s="48"/>
      <c r="G101" s="48"/>
      <c r="H101" s="41"/>
      <c r="I101" t="s">
        <v>279</v>
      </c>
      <c r="J101">
        <v>61.3</v>
      </c>
    </row>
    <row r="102" spans="2:14" ht="41.7" hidden="1" customHeight="1">
      <c r="B102" s="61">
        <f t="shared" si="1"/>
        <v>45263</v>
      </c>
      <c r="C102" s="48"/>
      <c r="D102" s="48"/>
      <c r="E102" s="84"/>
      <c r="F102" s="48"/>
      <c r="H102" s="48"/>
      <c r="I102" t="s">
        <v>280</v>
      </c>
      <c r="J102">
        <v>60.6</v>
      </c>
      <c r="L102" s="87">
        <v>0.28399999999999997</v>
      </c>
      <c r="M102" s="78">
        <f>J102*(1-L102)</f>
        <v>43.389600000000002</v>
      </c>
    </row>
    <row r="103" spans="2:14" ht="41.7" hidden="1" customHeight="1">
      <c r="B103" s="61">
        <f t="shared" si="1"/>
        <v>45270</v>
      </c>
      <c r="C103" s="233">
        <v>4</v>
      </c>
      <c r="D103" s="234"/>
      <c r="E103" s="234"/>
      <c r="F103" s="234"/>
      <c r="G103" s="41"/>
      <c r="H103" s="41"/>
      <c r="I103" t="s">
        <v>281</v>
      </c>
      <c r="J103">
        <v>61.2</v>
      </c>
    </row>
    <row r="104" spans="2:14" ht="41.7" hidden="1" customHeight="1">
      <c r="B104" s="83" t="s">
        <v>282</v>
      </c>
      <c r="C104" s="48"/>
      <c r="D104" s="48"/>
      <c r="E104" s="77"/>
      <c r="F104" s="48"/>
      <c r="H104" s="82"/>
      <c r="I104" t="s">
        <v>283</v>
      </c>
      <c r="J104">
        <v>61.5</v>
      </c>
      <c r="L104" s="87">
        <v>0.28499999999999998</v>
      </c>
      <c r="M104" s="78">
        <f>J104*(1-L104)</f>
        <v>43.972500000000004</v>
      </c>
    </row>
    <row r="105" spans="2:14" ht="41.7" hidden="1" customHeight="1">
      <c r="B105" s="61">
        <v>45284</v>
      </c>
      <c r="C105" s="62"/>
      <c r="D105" s="62"/>
      <c r="E105" s="48"/>
      <c r="F105" s="48"/>
      <c r="G105" s="48"/>
      <c r="H105" s="48"/>
      <c r="J105">
        <v>60.2</v>
      </c>
    </row>
    <row r="106" spans="2:14" ht="41.7" hidden="1" customHeight="1">
      <c r="B106" s="61">
        <f t="shared" si="1"/>
        <v>45291</v>
      </c>
      <c r="C106" s="62"/>
      <c r="D106" s="48"/>
      <c r="F106" s="48"/>
      <c r="G106" s="48"/>
      <c r="H106" s="48"/>
      <c r="J106" s="78">
        <v>59.2</v>
      </c>
      <c r="K106" s="78"/>
    </row>
    <row r="107" spans="2:14" ht="41.7" hidden="1" customHeight="1">
      <c r="B107" s="73">
        <f t="shared" si="1"/>
        <v>45298</v>
      </c>
      <c r="C107" s="48"/>
      <c r="E107" s="233">
        <v>3</v>
      </c>
      <c r="F107" s="234"/>
      <c r="G107" s="235"/>
      <c r="H107" s="48"/>
      <c r="J107">
        <v>60</v>
      </c>
    </row>
    <row r="108" spans="2:14" ht="41.7" hidden="1" customHeight="1">
      <c r="B108" s="73">
        <f t="shared" si="1"/>
        <v>45305</v>
      </c>
      <c r="C108" s="81" t="s">
        <v>284</v>
      </c>
      <c r="D108" s="48"/>
      <c r="E108" s="48"/>
      <c r="F108" s="48"/>
      <c r="G108" s="48"/>
      <c r="H108" s="48"/>
      <c r="J108">
        <v>60</v>
      </c>
    </row>
    <row r="109" spans="2:14" ht="41.7" hidden="1" customHeight="1">
      <c r="B109" s="73">
        <f t="shared" si="1"/>
        <v>45312</v>
      </c>
      <c r="C109" s="218" t="s">
        <v>285</v>
      </c>
      <c r="D109" s="236"/>
      <c r="E109" s="236"/>
      <c r="F109" s="236"/>
      <c r="G109" s="219"/>
      <c r="H109" s="48"/>
      <c r="J109">
        <v>60.3</v>
      </c>
    </row>
    <row r="110" spans="2:14" ht="41.7" hidden="1" customHeight="1">
      <c r="B110" s="73">
        <f t="shared" si="1"/>
        <v>45319</v>
      </c>
      <c r="C110" s="48"/>
      <c r="D110" s="48"/>
      <c r="E110" s="48"/>
      <c r="F110" s="48"/>
      <c r="G110" s="41" t="s">
        <v>286</v>
      </c>
      <c r="H110" s="41" t="s">
        <v>287</v>
      </c>
      <c r="J110">
        <v>59.9</v>
      </c>
    </row>
    <row r="111" spans="2:14" ht="41.7" hidden="1" customHeight="1">
      <c r="B111" s="73">
        <f t="shared" si="1"/>
        <v>45326</v>
      </c>
      <c r="C111" s="48"/>
      <c r="D111" s="48"/>
      <c r="E111" s="48"/>
      <c r="G111" s="48" t="s">
        <v>288</v>
      </c>
      <c r="H111" s="48"/>
      <c r="J111">
        <v>59.8</v>
      </c>
    </row>
    <row r="112" spans="2:14" ht="41.7" hidden="1" customHeight="1">
      <c r="B112" s="73">
        <f t="shared" si="1"/>
        <v>45333</v>
      </c>
      <c r="C112" s="77" t="s">
        <v>289</v>
      </c>
      <c r="D112" s="77" t="s">
        <v>290</v>
      </c>
      <c r="E112" s="77" t="s">
        <v>290</v>
      </c>
      <c r="F112" s="77" t="s">
        <v>290</v>
      </c>
      <c r="G112" s="77" t="s">
        <v>289</v>
      </c>
      <c r="H112" s="48" t="s">
        <v>291</v>
      </c>
      <c r="J112">
        <v>60.1</v>
      </c>
    </row>
    <row r="113" spans="2:10" ht="41.7" hidden="1" customHeight="1">
      <c r="B113" s="73">
        <f t="shared" si="1"/>
        <v>45340</v>
      </c>
      <c r="C113" s="48"/>
      <c r="D113" s="48"/>
      <c r="E113" s="48" t="s">
        <v>292</v>
      </c>
      <c r="F113" s="48"/>
      <c r="G113" s="48"/>
      <c r="H113" s="48"/>
      <c r="J113">
        <v>60.5</v>
      </c>
    </row>
    <row r="114" spans="2:10" ht="41.7" hidden="1" customHeight="1">
      <c r="B114" s="73">
        <f t="shared" si="1"/>
        <v>45347</v>
      </c>
      <c r="C114" s="88" t="s">
        <v>293</v>
      </c>
      <c r="D114" s="89"/>
      <c r="E114" s="89"/>
      <c r="F114" s="89"/>
      <c r="G114" s="89"/>
      <c r="H114" s="48" t="s">
        <v>294</v>
      </c>
      <c r="J114">
        <v>58.85</v>
      </c>
    </row>
    <row r="115" spans="2:10" ht="41.7" hidden="1" customHeight="1">
      <c r="B115" s="73">
        <f t="shared" si="1"/>
        <v>45354</v>
      </c>
      <c r="C115" s="89"/>
      <c r="D115" s="89"/>
      <c r="E115" s="89"/>
      <c r="F115" s="89"/>
      <c r="G115" s="89"/>
      <c r="H115" s="48"/>
      <c r="J115">
        <v>58.4</v>
      </c>
    </row>
    <row r="116" spans="2:10" ht="41.7" hidden="1" customHeight="1">
      <c r="B116" s="73">
        <f t="shared" si="1"/>
        <v>45361</v>
      </c>
      <c r="C116" s="48"/>
      <c r="D116" s="48"/>
      <c r="E116" s="48"/>
      <c r="F116" s="48"/>
      <c r="G116" s="48"/>
      <c r="H116" s="48"/>
      <c r="J116">
        <v>58.5</v>
      </c>
    </row>
    <row r="117" spans="2:10" ht="41.7" hidden="1" customHeight="1">
      <c r="B117" s="73">
        <f t="shared" si="1"/>
        <v>45368</v>
      </c>
      <c r="C117" s="48"/>
      <c r="D117" s="48"/>
      <c r="E117" s="48" t="s">
        <v>295</v>
      </c>
      <c r="F117" s="218">
        <v>2</v>
      </c>
      <c r="G117" s="219"/>
      <c r="H117" s="48" t="s">
        <v>296</v>
      </c>
      <c r="J117">
        <v>59.05</v>
      </c>
    </row>
    <row r="118" spans="2:10" ht="41.7" hidden="1" customHeight="1">
      <c r="B118" s="73">
        <f t="shared" si="1"/>
        <v>45375</v>
      </c>
      <c r="C118" s="102" t="s">
        <v>297</v>
      </c>
      <c r="D118" s="48"/>
      <c r="E118" s="77" t="s">
        <v>298</v>
      </c>
      <c r="F118" s="48"/>
      <c r="G118" s="62" t="s">
        <v>261</v>
      </c>
      <c r="H118" s="48"/>
      <c r="J118">
        <v>59</v>
      </c>
    </row>
    <row r="119" spans="2:10" ht="41.7" hidden="1" customHeight="1">
      <c r="B119" s="73">
        <f t="shared" si="1"/>
        <v>45382</v>
      </c>
      <c r="C119" s="62"/>
      <c r="D119" s="77" t="s">
        <v>299</v>
      </c>
      <c r="E119" s="77"/>
      <c r="F119" s="77"/>
      <c r="G119" s="77"/>
      <c r="H119" s="48" t="s">
        <v>300</v>
      </c>
      <c r="J119">
        <v>59.5</v>
      </c>
    </row>
    <row r="120" spans="2:10" ht="41.7" hidden="1" customHeight="1">
      <c r="B120" s="73">
        <f t="shared" si="1"/>
        <v>45389</v>
      </c>
      <c r="C120" s="77"/>
      <c r="D120" s="77"/>
      <c r="E120" s="77"/>
      <c r="F120" s="77"/>
      <c r="G120" s="77"/>
      <c r="H120" s="48" t="s">
        <v>301</v>
      </c>
      <c r="J120">
        <v>59.3</v>
      </c>
    </row>
    <row r="121" spans="2:10" ht="41.7" hidden="1" customHeight="1">
      <c r="B121" s="73">
        <f t="shared" si="1"/>
        <v>45396</v>
      </c>
      <c r="C121" s="48"/>
      <c r="D121" s="48"/>
      <c r="E121" s="41"/>
      <c r="F121" s="48"/>
      <c r="G121" s="48"/>
      <c r="H121" s="48"/>
      <c r="I121" s="65"/>
      <c r="J121">
        <v>60</v>
      </c>
    </row>
    <row r="122" spans="2:10" ht="41.7" hidden="1" customHeight="1">
      <c r="B122" s="73">
        <f t="shared" si="1"/>
        <v>45403</v>
      </c>
      <c r="C122" s="48"/>
      <c r="D122" s="48"/>
      <c r="E122" s="48"/>
      <c r="F122" s="48"/>
      <c r="G122" s="48"/>
      <c r="H122" s="48"/>
      <c r="J122">
        <v>59.75</v>
      </c>
    </row>
    <row r="123" spans="2:10" ht="41.7" hidden="1" customHeight="1">
      <c r="B123" s="73">
        <f t="shared" si="1"/>
        <v>45410</v>
      </c>
      <c r="C123" s="48"/>
      <c r="D123" s="48"/>
      <c r="E123" s="48"/>
      <c r="F123" s="48"/>
      <c r="G123" s="48"/>
      <c r="H123" s="48" t="s">
        <v>259</v>
      </c>
      <c r="J123">
        <v>60.05</v>
      </c>
    </row>
    <row r="124" spans="2:10" ht="41.7" hidden="1" customHeight="1">
      <c r="B124" s="73">
        <f t="shared" si="1"/>
        <v>45417</v>
      </c>
      <c r="C124" s="62"/>
      <c r="D124" s="48"/>
      <c r="E124" s="48"/>
      <c r="F124" s="48"/>
      <c r="G124" s="48"/>
      <c r="H124" s="41" t="s">
        <v>302</v>
      </c>
      <c r="J124">
        <v>60.5</v>
      </c>
    </row>
    <row r="125" spans="2:10" ht="41.7" hidden="1" customHeight="1">
      <c r="B125" s="73">
        <f t="shared" si="1"/>
        <v>45424</v>
      </c>
      <c r="C125" s="48"/>
      <c r="D125" s="48"/>
      <c r="E125" s="48"/>
      <c r="F125" s="48" t="s">
        <v>303</v>
      </c>
      <c r="G125" s="48"/>
      <c r="H125" s="48" t="s">
        <v>304</v>
      </c>
      <c r="J125">
        <v>60.95</v>
      </c>
    </row>
    <row r="126" spans="2:10" ht="41.7" hidden="1" customHeight="1">
      <c r="B126" s="101">
        <f t="shared" si="1"/>
        <v>45431</v>
      </c>
      <c r="C126" s="48"/>
      <c r="D126" s="48"/>
      <c r="E126" s="102" t="s">
        <v>305</v>
      </c>
      <c r="F126" s="48"/>
      <c r="G126" s="48"/>
      <c r="H126" s="48" t="s">
        <v>306</v>
      </c>
      <c r="J126">
        <v>59.75</v>
      </c>
    </row>
    <row r="127" spans="2:10" ht="41.7" hidden="1" customHeight="1">
      <c r="B127" s="73">
        <f t="shared" si="1"/>
        <v>45438</v>
      </c>
      <c r="C127" s="62" t="s">
        <v>307</v>
      </c>
      <c r="D127" s="231">
        <v>4</v>
      </c>
      <c r="E127" s="231"/>
      <c r="F127" s="231"/>
      <c r="G127" s="231"/>
      <c r="H127" s="48"/>
      <c r="I127" t="s">
        <v>308</v>
      </c>
      <c r="J127">
        <v>60.45</v>
      </c>
    </row>
    <row r="128" spans="2:10" ht="41.7" hidden="1" customHeight="1">
      <c r="B128" s="73">
        <f t="shared" si="1"/>
        <v>45445</v>
      </c>
      <c r="C128" s="48"/>
      <c r="D128" s="48"/>
      <c r="E128" s="48"/>
      <c r="F128" s="48"/>
      <c r="H128" s="48" t="s">
        <v>309</v>
      </c>
      <c r="J128">
        <v>61.35</v>
      </c>
    </row>
    <row r="129" spans="2:10" ht="41.7" hidden="1" customHeight="1">
      <c r="B129" s="73">
        <f t="shared" si="1"/>
        <v>45452</v>
      </c>
      <c r="C129" s="48"/>
      <c r="D129" s="48"/>
      <c r="E129" s="48" t="s">
        <v>310</v>
      </c>
      <c r="F129" s="41" t="s">
        <v>311</v>
      </c>
      <c r="G129" s="48"/>
      <c r="H129" s="48" t="s">
        <v>312</v>
      </c>
      <c r="J129">
        <v>60.95</v>
      </c>
    </row>
    <row r="130" spans="2:10" ht="41.7" hidden="1" customHeight="1">
      <c r="B130" s="73">
        <f t="shared" si="1"/>
        <v>45459</v>
      </c>
      <c r="C130" s="107" t="s">
        <v>313</v>
      </c>
      <c r="D130" s="48"/>
      <c r="E130" s="48"/>
      <c r="F130" s="77">
        <v>1</v>
      </c>
      <c r="G130" s="48"/>
      <c r="H130" s="48" t="s">
        <v>314</v>
      </c>
      <c r="J130">
        <v>62.5</v>
      </c>
    </row>
    <row r="131" spans="2:10" ht="41.7" hidden="1" customHeight="1">
      <c r="B131" s="73">
        <f t="shared" si="1"/>
        <v>45466</v>
      </c>
      <c r="C131" s="48"/>
      <c r="D131" s="48"/>
      <c r="E131" s="48"/>
      <c r="F131" s="48" t="s">
        <v>315</v>
      </c>
      <c r="G131" s="105">
        <v>1</v>
      </c>
      <c r="H131" s="48" t="s">
        <v>316</v>
      </c>
      <c r="J131">
        <v>61.5</v>
      </c>
    </row>
    <row r="132" spans="2:10" ht="41.7" hidden="1" customHeight="1">
      <c r="B132" s="73">
        <f t="shared" ref="B132:B195" si="2">B131+7</f>
        <v>45473</v>
      </c>
      <c r="D132" s="48" t="s">
        <v>317</v>
      </c>
      <c r="E132" s="48"/>
      <c r="F132" s="48" t="s">
        <v>318</v>
      </c>
      <c r="G132" s="108"/>
      <c r="H132" s="48" t="s">
        <v>319</v>
      </c>
      <c r="J132">
        <v>61</v>
      </c>
    </row>
    <row r="133" spans="2:10" ht="41.7" hidden="1" customHeight="1">
      <c r="B133" s="73">
        <f t="shared" si="2"/>
        <v>45480</v>
      </c>
      <c r="C133" s="48" t="s">
        <v>320</v>
      </c>
      <c r="D133" s="48"/>
      <c r="E133" s="48"/>
      <c r="F133" s="48" t="s">
        <v>321</v>
      </c>
      <c r="G133" s="48"/>
      <c r="H133" s="48" t="s">
        <v>322</v>
      </c>
      <c r="J133">
        <v>60.2</v>
      </c>
    </row>
    <row r="134" spans="2:10" ht="41.7" hidden="1" customHeight="1">
      <c r="B134" s="100">
        <f t="shared" si="2"/>
        <v>45487</v>
      </c>
      <c r="C134" s="48"/>
      <c r="D134" s="48"/>
      <c r="E134" s="48"/>
      <c r="F134" s="109" t="s">
        <v>323</v>
      </c>
      <c r="G134" s="48"/>
      <c r="H134" s="48"/>
      <c r="J134">
        <v>61.25</v>
      </c>
    </row>
    <row r="135" spans="2:10" ht="41.7" hidden="1" customHeight="1">
      <c r="B135" s="73">
        <f t="shared" si="2"/>
        <v>45494</v>
      </c>
      <c r="C135" s="106"/>
      <c r="D135" s="106"/>
      <c r="E135" s="106" t="s">
        <v>324</v>
      </c>
      <c r="F135" s="77" t="s">
        <v>325</v>
      </c>
      <c r="G135" s="77" t="s">
        <v>326</v>
      </c>
      <c r="H135" s="48"/>
      <c r="J135">
        <v>61.25</v>
      </c>
    </row>
    <row r="136" spans="2:10" ht="41.7" hidden="1" customHeight="1">
      <c r="B136" s="61">
        <f t="shared" si="2"/>
        <v>45501</v>
      </c>
      <c r="C136" s="220" t="s">
        <v>327</v>
      </c>
      <c r="D136" s="221"/>
      <c r="E136" s="221"/>
      <c r="F136" s="221"/>
      <c r="G136" s="222"/>
      <c r="H136" s="48">
        <v>1</v>
      </c>
      <c r="J136">
        <v>61.25</v>
      </c>
    </row>
    <row r="137" spans="2:10" ht="41.7" hidden="1" customHeight="1">
      <c r="B137" s="61">
        <f t="shared" si="2"/>
        <v>45508</v>
      </c>
      <c r="C137" s="223"/>
      <c r="D137" s="224"/>
      <c r="E137" s="224"/>
      <c r="F137" s="224"/>
      <c r="G137" s="225"/>
      <c r="H137" s="48"/>
      <c r="J137">
        <v>60.7</v>
      </c>
    </row>
    <row r="138" spans="2:10" ht="41.7" hidden="1" customHeight="1">
      <c r="B138" s="73">
        <f t="shared" si="2"/>
        <v>45515</v>
      </c>
      <c r="C138" s="226"/>
      <c r="D138" s="227"/>
      <c r="E138" s="227"/>
      <c r="F138" s="227"/>
      <c r="G138" s="228"/>
      <c r="H138" s="48"/>
      <c r="J138">
        <v>61.2</v>
      </c>
    </row>
    <row r="139" spans="2:10" ht="41.7" hidden="1" customHeight="1">
      <c r="B139" s="73">
        <f t="shared" si="2"/>
        <v>45522</v>
      </c>
      <c r="C139" s="229">
        <v>5</v>
      </c>
      <c r="D139" s="232"/>
      <c r="E139" s="232"/>
      <c r="F139" s="232"/>
      <c r="G139" s="230"/>
      <c r="H139" s="48"/>
      <c r="J139">
        <v>61</v>
      </c>
    </row>
    <row r="140" spans="2:10" ht="41.7" hidden="1" customHeight="1">
      <c r="B140" s="73">
        <f t="shared" si="2"/>
        <v>45529</v>
      </c>
      <c r="C140" s="62"/>
      <c r="D140" s="229">
        <v>4</v>
      </c>
      <c r="E140" s="232"/>
      <c r="F140" s="232"/>
      <c r="G140" s="230"/>
      <c r="H140" s="48"/>
      <c r="I140" t="s">
        <v>328</v>
      </c>
      <c r="J140">
        <v>61</v>
      </c>
    </row>
    <row r="141" spans="2:10" ht="41.7" hidden="1" customHeight="1">
      <c r="B141" s="73">
        <f t="shared" si="2"/>
        <v>45536</v>
      </c>
      <c r="C141" s="229" t="s">
        <v>329</v>
      </c>
      <c r="D141" s="230"/>
      <c r="E141" s="48"/>
      <c r="F141" s="41"/>
      <c r="G141" s="48" t="s">
        <v>330</v>
      </c>
      <c r="H141" s="48"/>
      <c r="J141">
        <v>61</v>
      </c>
    </row>
    <row r="142" spans="2:10" ht="41.7" hidden="1" customHeight="1">
      <c r="B142" s="73">
        <f t="shared" si="2"/>
        <v>45543</v>
      </c>
      <c r="C142" s="48"/>
      <c r="D142" s="48" t="s">
        <v>331</v>
      </c>
      <c r="E142" s="48" t="s">
        <v>332</v>
      </c>
      <c r="F142" s="48"/>
      <c r="G142" s="48" t="s">
        <v>330</v>
      </c>
      <c r="H142" s="48"/>
      <c r="J142">
        <v>60.2</v>
      </c>
    </row>
    <row r="143" spans="2:10" ht="41.7" hidden="1" customHeight="1">
      <c r="B143" s="73">
        <f t="shared" si="2"/>
        <v>45550</v>
      </c>
      <c r="C143" s="48"/>
      <c r="D143" s="48" t="s">
        <v>333</v>
      </c>
      <c r="E143" s="48" t="s">
        <v>332</v>
      </c>
      <c r="F143" s="41" t="s">
        <v>334</v>
      </c>
      <c r="G143" s="48" t="s">
        <v>335</v>
      </c>
      <c r="H143" s="48" t="s">
        <v>336</v>
      </c>
      <c r="I143" t="s">
        <v>337</v>
      </c>
      <c r="J143">
        <v>61.3</v>
      </c>
    </row>
    <row r="144" spans="2:10" ht="41.7" hidden="1" customHeight="1">
      <c r="B144" s="73">
        <f t="shared" si="2"/>
        <v>45557</v>
      </c>
      <c r="C144" s="48"/>
      <c r="D144" s="48" t="s">
        <v>338</v>
      </c>
      <c r="E144" s="48" t="s">
        <v>332</v>
      </c>
      <c r="F144" s="41" t="s">
        <v>334</v>
      </c>
      <c r="G144" s="48" t="s">
        <v>335</v>
      </c>
      <c r="H144" s="48" t="s">
        <v>336</v>
      </c>
      <c r="J144">
        <v>61.4</v>
      </c>
    </row>
    <row r="145" spans="2:13" ht="41.7" hidden="1" customHeight="1">
      <c r="B145" s="73">
        <f t="shared" si="2"/>
        <v>45564</v>
      </c>
      <c r="C145" s="48"/>
      <c r="D145" s="48" t="s">
        <v>339</v>
      </c>
      <c r="E145" s="48" t="s">
        <v>332</v>
      </c>
      <c r="F145" s="41" t="s">
        <v>334</v>
      </c>
      <c r="G145" s="121">
        <v>1</v>
      </c>
      <c r="H145" s="48" t="s">
        <v>336</v>
      </c>
      <c r="I145" t="s">
        <v>340</v>
      </c>
      <c r="J145">
        <v>60.6</v>
      </c>
    </row>
    <row r="146" spans="2:13" ht="41.7" hidden="1" customHeight="1">
      <c r="B146" s="73">
        <f t="shared" si="2"/>
        <v>45571</v>
      </c>
      <c r="C146" s="48"/>
      <c r="D146" s="48" t="s">
        <v>341</v>
      </c>
      <c r="E146" s="48" t="s">
        <v>332</v>
      </c>
      <c r="F146" s="41"/>
      <c r="G146" s="48" t="s">
        <v>335</v>
      </c>
      <c r="H146" s="48" t="s">
        <v>342</v>
      </c>
      <c r="I146" t="s">
        <v>343</v>
      </c>
      <c r="J146">
        <v>61.7</v>
      </c>
    </row>
    <row r="147" spans="2:13" ht="41.7" hidden="1" customHeight="1">
      <c r="B147" s="100">
        <f t="shared" si="2"/>
        <v>45578</v>
      </c>
      <c r="C147" s="48" t="s">
        <v>285</v>
      </c>
      <c r="D147" s="48" t="s">
        <v>344</v>
      </c>
      <c r="E147" s="48" t="s">
        <v>332</v>
      </c>
      <c r="F147" s="41" t="s">
        <v>334</v>
      </c>
      <c r="G147" s="48"/>
      <c r="H147" s="41" t="s">
        <v>345</v>
      </c>
      <c r="I147" t="s">
        <v>346</v>
      </c>
      <c r="J147">
        <v>60.4</v>
      </c>
    </row>
    <row r="148" spans="2:13" ht="41.7" hidden="1" customHeight="1">
      <c r="B148" s="73">
        <f t="shared" si="2"/>
        <v>45585</v>
      </c>
      <c r="C148" s="77">
        <v>1</v>
      </c>
      <c r="D148" s="77" t="s">
        <v>347</v>
      </c>
      <c r="E148" s="77" t="s">
        <v>332</v>
      </c>
      <c r="F148" s="229">
        <v>2</v>
      </c>
      <c r="G148" s="230"/>
      <c r="H148" s="48"/>
      <c r="J148">
        <v>60.85</v>
      </c>
      <c r="L148" s="216"/>
    </row>
    <row r="149" spans="2:13" ht="41.7" hidden="1" customHeight="1">
      <c r="B149" s="73">
        <f t="shared" si="2"/>
        <v>45592</v>
      </c>
      <c r="C149" s="77" t="s">
        <v>348</v>
      </c>
      <c r="D149" s="77"/>
      <c r="E149" s="77" t="s">
        <v>349</v>
      </c>
      <c r="F149" s="77" t="s">
        <v>334</v>
      </c>
      <c r="G149" s="77"/>
      <c r="H149" s="48"/>
      <c r="J149">
        <v>61.8</v>
      </c>
      <c r="L149" s="216"/>
    </row>
    <row r="150" spans="2:13" ht="41.7" hidden="1" customHeight="1">
      <c r="B150" s="73">
        <f t="shared" si="2"/>
        <v>45599</v>
      </c>
      <c r="C150" s="48"/>
      <c r="D150" s="48"/>
      <c r="E150" s="48" t="s">
        <v>332</v>
      </c>
      <c r="F150" s="48"/>
      <c r="G150" s="48"/>
      <c r="H150" s="48"/>
      <c r="I150" t="s">
        <v>350</v>
      </c>
      <c r="J150">
        <v>61.25</v>
      </c>
    </row>
    <row r="151" spans="2:13" ht="41.7" hidden="1" customHeight="1">
      <c r="B151" s="73">
        <f t="shared" si="2"/>
        <v>45606</v>
      </c>
      <c r="C151" s="48"/>
      <c r="D151" s="48"/>
      <c r="E151" s="48" t="s">
        <v>332</v>
      </c>
      <c r="F151" s="48"/>
      <c r="G151" s="48"/>
      <c r="H151" s="48" t="s">
        <v>336</v>
      </c>
      <c r="I151" t="s">
        <v>351</v>
      </c>
      <c r="J151">
        <v>62.25</v>
      </c>
    </row>
    <row r="152" spans="2:13" ht="41.7" hidden="1" customHeight="1">
      <c r="B152" s="73">
        <f t="shared" si="2"/>
        <v>45613</v>
      </c>
      <c r="C152" s="48"/>
      <c r="D152" s="48" t="s">
        <v>352</v>
      </c>
      <c r="E152" s="48" t="s">
        <v>332</v>
      </c>
      <c r="F152" s="48"/>
      <c r="G152" s="48"/>
      <c r="H152" s="48" t="s">
        <v>336</v>
      </c>
      <c r="I152" t="s">
        <v>353</v>
      </c>
      <c r="J152">
        <v>61.45</v>
      </c>
    </row>
    <row r="153" spans="2:13" ht="41.7" hidden="1" customHeight="1">
      <c r="B153" s="73">
        <f t="shared" si="2"/>
        <v>45620</v>
      </c>
      <c r="C153" s="48" t="s">
        <v>354</v>
      </c>
      <c r="E153" s="48" t="s">
        <v>332</v>
      </c>
      <c r="F153" s="48" t="s">
        <v>355</v>
      </c>
      <c r="G153" s="72" t="s">
        <v>356</v>
      </c>
      <c r="H153" s="48" t="s">
        <v>336</v>
      </c>
      <c r="J153">
        <v>61.95</v>
      </c>
    </row>
    <row r="154" spans="2:13" ht="41.7" hidden="1" customHeight="1">
      <c r="B154" s="73">
        <f t="shared" si="2"/>
        <v>45627</v>
      </c>
      <c r="C154" s="48" t="s">
        <v>357</v>
      </c>
      <c r="D154" s="48" t="s">
        <v>352</v>
      </c>
      <c r="E154" s="48" t="s">
        <v>332</v>
      </c>
      <c r="F154" s="48" t="s">
        <v>355</v>
      </c>
      <c r="G154" s="48">
        <v>1</v>
      </c>
      <c r="H154" s="48" t="s">
        <v>336</v>
      </c>
      <c r="J154">
        <v>61.45</v>
      </c>
      <c r="L154" s="216"/>
    </row>
    <row r="155" spans="2:13" ht="41.7" hidden="1" customHeight="1">
      <c r="B155" s="73">
        <f t="shared" si="2"/>
        <v>45634</v>
      </c>
      <c r="C155" s="48" t="s">
        <v>358</v>
      </c>
      <c r="D155" s="48" t="s">
        <v>359</v>
      </c>
      <c r="E155" s="48" t="s">
        <v>332</v>
      </c>
      <c r="F155" s="48" t="s">
        <v>355</v>
      </c>
      <c r="G155" s="90" t="s">
        <v>360</v>
      </c>
      <c r="H155" s="48" t="s">
        <v>336</v>
      </c>
      <c r="J155">
        <v>62.75</v>
      </c>
      <c r="L155" s="216"/>
      <c r="M155" s="65"/>
    </row>
    <row r="156" spans="2:13" ht="41.7" hidden="1" customHeight="1">
      <c r="B156" s="73">
        <f t="shared" si="2"/>
        <v>45641</v>
      </c>
      <c r="C156" s="77" t="s">
        <v>361</v>
      </c>
      <c r="D156" s="77" t="s">
        <v>355</v>
      </c>
      <c r="E156" s="77" t="s">
        <v>332</v>
      </c>
      <c r="F156" s="145" t="s">
        <v>362</v>
      </c>
      <c r="G156" s="77">
        <v>1</v>
      </c>
      <c r="H156" s="48" t="s">
        <v>363</v>
      </c>
      <c r="J156">
        <v>62.5</v>
      </c>
    </row>
    <row r="157" spans="2:13" ht="45" hidden="1" customHeight="1">
      <c r="B157" s="73">
        <f>B156+7</f>
        <v>45648</v>
      </c>
      <c r="C157" s="138" t="s">
        <v>364</v>
      </c>
      <c r="D157" s="145"/>
      <c r="E157" s="144"/>
      <c r="F157" s="62" t="s">
        <v>365</v>
      </c>
      <c r="G157" s="77">
        <v>1</v>
      </c>
      <c r="H157" s="48"/>
      <c r="J157">
        <v>62.25</v>
      </c>
    </row>
    <row r="158" spans="2:13" ht="41.7" hidden="1" customHeight="1">
      <c r="B158" s="73">
        <f t="shared" si="2"/>
        <v>45655</v>
      </c>
      <c r="C158" s="229">
        <v>2</v>
      </c>
      <c r="D158" s="230"/>
      <c r="E158" s="62"/>
      <c r="F158" s="229">
        <v>2</v>
      </c>
      <c r="G158" s="230"/>
      <c r="H158" s="48"/>
      <c r="I158" s="35"/>
      <c r="J158">
        <v>62.8</v>
      </c>
    </row>
    <row r="159" spans="2:13" ht="41.7" hidden="1" customHeight="1">
      <c r="B159" s="73">
        <f t="shared" si="2"/>
        <v>45662</v>
      </c>
      <c r="C159" s="77" t="s">
        <v>366</v>
      </c>
      <c r="D159" s="48"/>
      <c r="E159" s="48" t="s">
        <v>332</v>
      </c>
      <c r="F159" s="48"/>
      <c r="G159" s="48" t="s">
        <v>367</v>
      </c>
      <c r="H159" s="48"/>
      <c r="J159">
        <v>63.2</v>
      </c>
    </row>
    <row r="160" spans="2:13" ht="41.7" hidden="1" customHeight="1">
      <c r="B160" s="73">
        <f t="shared" si="2"/>
        <v>45669</v>
      </c>
      <c r="C160" s="48" t="s">
        <v>368</v>
      </c>
      <c r="D160" s="48"/>
      <c r="E160" s="48" t="s">
        <v>332</v>
      </c>
      <c r="F160" s="48"/>
      <c r="G160" s="48" t="s">
        <v>369</v>
      </c>
      <c r="H160" s="48" t="s">
        <v>370</v>
      </c>
      <c r="J160">
        <v>63.3</v>
      </c>
    </row>
    <row r="161" spans="1:17" ht="41.7" hidden="1" customHeight="1">
      <c r="B161" s="133">
        <f t="shared" si="2"/>
        <v>45676</v>
      </c>
      <c r="C161" s="48" t="s">
        <v>371</v>
      </c>
      <c r="D161" s="48" t="s">
        <v>355</v>
      </c>
      <c r="E161" s="48" t="s">
        <v>332</v>
      </c>
      <c r="F161" s="48"/>
      <c r="G161" s="48"/>
      <c r="H161" s="48"/>
      <c r="J161" s="35">
        <v>62.9</v>
      </c>
      <c r="K161" s="35"/>
    </row>
    <row r="162" spans="1:17" ht="41.7" hidden="1" customHeight="1">
      <c r="B162" s="73">
        <f t="shared" si="2"/>
        <v>45683</v>
      </c>
      <c r="C162" s="48" t="s">
        <v>371</v>
      </c>
      <c r="D162" s="48" t="s">
        <v>355</v>
      </c>
      <c r="E162" s="48" t="s">
        <v>332</v>
      </c>
      <c r="F162" s="218">
        <v>2</v>
      </c>
      <c r="G162" s="219"/>
      <c r="H162" s="48"/>
      <c r="J162">
        <v>62.7</v>
      </c>
    </row>
    <row r="163" spans="1:17" ht="41.7" hidden="1" customHeight="1">
      <c r="B163" s="73">
        <f t="shared" si="2"/>
        <v>45690</v>
      </c>
      <c r="C163" s="48"/>
      <c r="D163" s="48" t="s">
        <v>355</v>
      </c>
      <c r="E163" s="48" t="s">
        <v>332</v>
      </c>
      <c r="F163" s="48"/>
      <c r="G163" s="48" t="s">
        <v>371</v>
      </c>
      <c r="H163" s="48"/>
      <c r="J163">
        <v>62.9</v>
      </c>
    </row>
    <row r="164" spans="1:17" ht="41.7" hidden="1" customHeight="1">
      <c r="B164" s="73">
        <f t="shared" si="2"/>
        <v>45697</v>
      </c>
      <c r="C164" s="48" t="s">
        <v>371</v>
      </c>
      <c r="D164" s="48" t="s">
        <v>355</v>
      </c>
      <c r="E164" s="106" t="s">
        <v>332</v>
      </c>
      <c r="F164" s="106"/>
      <c r="G164" s="106">
        <v>1</v>
      </c>
      <c r="H164" s="48"/>
      <c r="J164">
        <v>63.3</v>
      </c>
    </row>
    <row r="165" spans="1:17" ht="41.7" hidden="1" customHeight="1">
      <c r="B165" s="155">
        <f t="shared" si="2"/>
        <v>45704</v>
      </c>
      <c r="C165" s="157"/>
      <c r="D165" s="140" t="s">
        <v>355</v>
      </c>
      <c r="E165" s="140" t="s">
        <v>372</v>
      </c>
      <c r="F165" s="140"/>
      <c r="G165" s="141"/>
      <c r="H165" s="48" t="s">
        <v>371</v>
      </c>
      <c r="J165">
        <v>63.3</v>
      </c>
    </row>
    <row r="166" spans="1:17" ht="41.7" hidden="1" customHeight="1">
      <c r="B166" s="73">
        <f t="shared" si="2"/>
        <v>45711</v>
      </c>
      <c r="C166" s="48" t="s">
        <v>371</v>
      </c>
      <c r="D166" s="48" t="s">
        <v>355</v>
      </c>
      <c r="E166" s="156" t="s">
        <v>332</v>
      </c>
      <c r="F166" s="156"/>
      <c r="G166" s="156"/>
      <c r="H166" s="48"/>
      <c r="J166">
        <v>63.5</v>
      </c>
    </row>
    <row r="167" spans="1:17" ht="41.7" hidden="1" customHeight="1">
      <c r="B167" s="73">
        <f t="shared" si="2"/>
        <v>45718</v>
      </c>
      <c r="C167" s="48" t="s">
        <v>371</v>
      </c>
      <c r="D167" s="48"/>
      <c r="E167" s="48" t="s">
        <v>332</v>
      </c>
      <c r="F167" s="48"/>
      <c r="G167" s="89"/>
      <c r="H167" s="48"/>
      <c r="J167">
        <v>63.75</v>
      </c>
    </row>
    <row r="168" spans="1:17" ht="41.7" hidden="1" customHeight="1">
      <c r="B168" s="73">
        <f t="shared" si="2"/>
        <v>45725</v>
      </c>
      <c r="C168" s="48" t="s">
        <v>371</v>
      </c>
      <c r="D168" s="48" t="s">
        <v>355</v>
      </c>
      <c r="E168" s="48" t="s">
        <v>332</v>
      </c>
      <c r="F168" s="48"/>
      <c r="G168" s="48"/>
      <c r="H168" s="48"/>
      <c r="J168">
        <v>64.5</v>
      </c>
    </row>
    <row r="169" spans="1:17" ht="41.7" hidden="1" customHeight="1">
      <c r="B169" s="177">
        <f t="shared" si="2"/>
        <v>45732</v>
      </c>
      <c r="C169" s="178" t="s">
        <v>371</v>
      </c>
      <c r="D169" s="178"/>
      <c r="E169" s="178" t="s">
        <v>332</v>
      </c>
      <c r="F169" s="178"/>
      <c r="G169" s="178"/>
      <c r="H169" s="178"/>
      <c r="J169">
        <v>64.400000000000006</v>
      </c>
    </row>
    <row r="170" spans="1:17" ht="41.7" hidden="1" customHeight="1">
      <c r="B170" s="73">
        <f t="shared" si="2"/>
        <v>45739</v>
      </c>
      <c r="C170" s="89" t="s">
        <v>371</v>
      </c>
      <c r="D170" s="48" t="s">
        <v>355</v>
      </c>
      <c r="E170" s="106" t="s">
        <v>332</v>
      </c>
      <c r="F170" s="84" t="s">
        <v>1160</v>
      </c>
      <c r="G170" s="41">
        <v>1</v>
      </c>
      <c r="H170" s="48" t="s">
        <v>1162</v>
      </c>
      <c r="J170">
        <v>64.849999999999994</v>
      </c>
    </row>
    <row r="171" spans="1:17" ht="41.7" hidden="1" customHeight="1">
      <c r="B171" s="61">
        <f t="shared" si="2"/>
        <v>45746</v>
      </c>
      <c r="C171" s="153" t="s">
        <v>371</v>
      </c>
      <c r="D171" s="152" t="s">
        <v>355</v>
      </c>
      <c r="E171" s="186" t="s">
        <v>1161</v>
      </c>
      <c r="F171" s="77"/>
      <c r="G171" s="89" t="s">
        <v>1143</v>
      </c>
      <c r="H171" s="48"/>
      <c r="I171" t="s">
        <v>1164</v>
      </c>
      <c r="J171">
        <v>65.349999999999994</v>
      </c>
    </row>
    <row r="172" spans="1:17" ht="41.7" hidden="1" customHeight="1">
      <c r="B172" s="61">
        <f t="shared" si="2"/>
        <v>45753</v>
      </c>
      <c r="C172" s="190"/>
      <c r="D172" s="160" t="s">
        <v>1145</v>
      </c>
      <c r="E172" s="158"/>
      <c r="F172" s="191"/>
      <c r="G172" s="89" t="s">
        <v>1144</v>
      </c>
      <c r="H172" s="48" t="s">
        <v>1172</v>
      </c>
      <c r="I172" t="s">
        <v>1167</v>
      </c>
      <c r="J172">
        <v>65.8</v>
      </c>
      <c r="M172" s="21"/>
    </row>
    <row r="173" spans="1:17" ht="41.7" hidden="1" customHeight="1">
      <c r="B173" s="61">
        <f t="shared" si="2"/>
        <v>45760</v>
      </c>
      <c r="C173" s="187">
        <v>1</v>
      </c>
      <c r="D173" s="183" t="s">
        <v>355</v>
      </c>
      <c r="E173" s="77" t="s">
        <v>1186</v>
      </c>
      <c r="F173" s="183" t="s">
        <v>1163</v>
      </c>
      <c r="G173" s="159"/>
      <c r="H173" s="192" t="s">
        <v>1173</v>
      </c>
      <c r="I173" t="s">
        <v>1168</v>
      </c>
      <c r="J173">
        <v>65.8</v>
      </c>
      <c r="P173" s="21"/>
    </row>
    <row r="174" spans="1:17" ht="41.7" hidden="1" customHeight="1">
      <c r="A174" s="48"/>
      <c r="B174" s="73">
        <f>B173+7</f>
        <v>45767</v>
      </c>
      <c r="C174" s="154"/>
      <c r="D174" s="156" t="s">
        <v>355</v>
      </c>
      <c r="E174" s="48" t="s">
        <v>1187</v>
      </c>
      <c r="F174" s="72" t="s">
        <v>332</v>
      </c>
      <c r="G174" s="48"/>
      <c r="H174" s="48"/>
      <c r="J174">
        <v>66.2</v>
      </c>
      <c r="M174">
        <v>1</v>
      </c>
      <c r="P174" s="21"/>
      <c r="Q174" s="21"/>
    </row>
    <row r="175" spans="1:17" ht="41.7" hidden="1" customHeight="1">
      <c r="A175" s="48" t="s">
        <v>1175</v>
      </c>
      <c r="B175" s="73">
        <f t="shared" si="2"/>
        <v>45774</v>
      </c>
      <c r="C175" s="48" t="s">
        <v>371</v>
      </c>
      <c r="D175" s="202" t="s">
        <v>355</v>
      </c>
      <c r="E175" s="48"/>
      <c r="F175" s="160" t="s">
        <v>332</v>
      </c>
      <c r="G175" s="203">
        <v>1</v>
      </c>
      <c r="H175" s="48"/>
      <c r="J175">
        <v>66.150000000000006</v>
      </c>
      <c r="M175">
        <v>1</v>
      </c>
    </row>
    <row r="176" spans="1:17" ht="41.7" hidden="1" customHeight="1">
      <c r="A176" s="48" t="s">
        <v>1176</v>
      </c>
      <c r="B176" s="73">
        <f t="shared" si="2"/>
        <v>45781</v>
      </c>
      <c r="C176" s="62" t="s">
        <v>371</v>
      </c>
      <c r="D176" s="206" t="s">
        <v>355</v>
      </c>
      <c r="E176" s="48"/>
      <c r="F176" s="106" t="s">
        <v>332</v>
      </c>
      <c r="G176" s="48"/>
      <c r="H176" s="48"/>
      <c r="J176">
        <v>66.8</v>
      </c>
    </row>
    <row r="177" spans="1:13" ht="41.7" customHeight="1">
      <c r="A177" s="48" t="s">
        <v>1177</v>
      </c>
      <c r="B177" s="73">
        <f t="shared" si="2"/>
        <v>45788</v>
      </c>
      <c r="C177" s="48" t="s">
        <v>371</v>
      </c>
      <c r="D177" s="206" t="s">
        <v>355</v>
      </c>
      <c r="E177" s="48" t="s">
        <v>1230</v>
      </c>
      <c r="F177" s="106" t="s">
        <v>332</v>
      </c>
      <c r="G177" s="48" t="s">
        <v>1189</v>
      </c>
      <c r="H177" s="48" t="s">
        <v>735</v>
      </c>
      <c r="J177">
        <v>66.95</v>
      </c>
    </row>
    <row r="178" spans="1:13" ht="41.7" customHeight="1">
      <c r="A178" s="48" t="s">
        <v>1202</v>
      </c>
      <c r="B178" s="73">
        <f t="shared" si="2"/>
        <v>45795</v>
      </c>
      <c r="C178" s="48" t="s">
        <v>371</v>
      </c>
      <c r="D178" s="207"/>
      <c r="E178" s="48"/>
      <c r="F178" s="106" t="s">
        <v>332</v>
      </c>
      <c r="G178" s="156" t="s">
        <v>355</v>
      </c>
      <c r="H178" s="48" t="s">
        <v>1203</v>
      </c>
      <c r="I178" t="s">
        <v>1213</v>
      </c>
      <c r="J178" t="s">
        <v>1231</v>
      </c>
    </row>
    <row r="179" spans="1:13" ht="41.7" customHeight="1">
      <c r="A179" s="48" t="s">
        <v>1178</v>
      </c>
      <c r="B179" s="73">
        <f t="shared" si="2"/>
        <v>45802</v>
      </c>
      <c r="C179" s="62"/>
      <c r="D179" s="245">
        <v>2</v>
      </c>
      <c r="E179" s="246"/>
      <c r="F179" s="243" t="s">
        <v>1168</v>
      </c>
      <c r="G179" s="244"/>
      <c r="H179" s="48" t="s">
        <v>735</v>
      </c>
      <c r="I179" t="s">
        <v>1168</v>
      </c>
      <c r="M179">
        <v>2</v>
      </c>
    </row>
    <row r="180" spans="1:13" ht="41.7" customHeight="1">
      <c r="A180" s="48" t="s">
        <v>1179</v>
      </c>
      <c r="B180" s="73">
        <f t="shared" si="2"/>
        <v>45809</v>
      </c>
      <c r="C180" s="89" t="s">
        <v>371</v>
      </c>
      <c r="D180" s="205"/>
      <c r="E180" s="48"/>
      <c r="F180" s="72" t="s">
        <v>332</v>
      </c>
      <c r="G180" s="156" t="s">
        <v>355</v>
      </c>
      <c r="H180" s="48"/>
      <c r="L180" s="213">
        <v>10.15</v>
      </c>
    </row>
    <row r="181" spans="1:13" ht="41.7" customHeight="1">
      <c r="A181" s="48" t="s">
        <v>1180</v>
      </c>
      <c r="B181" s="73">
        <f t="shared" si="2"/>
        <v>45816</v>
      </c>
      <c r="C181" s="48" t="s">
        <v>371</v>
      </c>
      <c r="D181" s="205"/>
      <c r="E181" s="48" t="s">
        <v>1230</v>
      </c>
      <c r="F181" s="106" t="s">
        <v>332</v>
      </c>
      <c r="G181" s="156" t="s">
        <v>355</v>
      </c>
      <c r="H181" s="48" t="s">
        <v>735</v>
      </c>
    </row>
    <row r="182" spans="1:13" ht="41.7" customHeight="1">
      <c r="A182" s="48" t="s">
        <v>1181</v>
      </c>
      <c r="B182" s="73">
        <f t="shared" si="2"/>
        <v>45823</v>
      </c>
      <c r="C182" s="48" t="s">
        <v>371</v>
      </c>
      <c r="D182" s="205"/>
      <c r="E182" s="48"/>
      <c r="F182" s="160" t="s">
        <v>332</v>
      </c>
      <c r="G182" s="156" t="s">
        <v>355</v>
      </c>
      <c r="H182" s="48" t="s">
        <v>735</v>
      </c>
      <c r="I182" t="s">
        <v>1227</v>
      </c>
      <c r="L182" s="214" t="s">
        <v>1217</v>
      </c>
    </row>
    <row r="183" spans="1:13" ht="41.7" customHeight="1">
      <c r="A183" s="48" t="s">
        <v>1182</v>
      </c>
      <c r="B183" s="73">
        <f t="shared" si="2"/>
        <v>45830</v>
      </c>
      <c r="C183" s="48" t="s">
        <v>371</v>
      </c>
      <c r="D183" s="205"/>
      <c r="E183" s="108">
        <v>0.5</v>
      </c>
      <c r="F183" s="106" t="s">
        <v>332</v>
      </c>
      <c r="G183" s="215">
        <v>0.5</v>
      </c>
      <c r="H183" s="48" t="s">
        <v>735</v>
      </c>
      <c r="L183" t="s">
        <v>1216</v>
      </c>
      <c r="M183">
        <v>3</v>
      </c>
    </row>
    <row r="184" spans="1:13" ht="41.7" customHeight="1">
      <c r="A184" s="48" t="s">
        <v>1183</v>
      </c>
      <c r="B184" s="73">
        <f t="shared" si="2"/>
        <v>45837</v>
      </c>
      <c r="C184" s="48" t="s">
        <v>371</v>
      </c>
      <c r="D184" s="206"/>
      <c r="E184" s="48"/>
      <c r="F184" s="106" t="s">
        <v>332</v>
      </c>
      <c r="G184" s="48" t="s">
        <v>355</v>
      </c>
      <c r="H184" s="48" t="s">
        <v>735</v>
      </c>
    </row>
    <row r="185" spans="1:13" ht="41.7" customHeight="1">
      <c r="A185" s="48" t="s">
        <v>1184</v>
      </c>
      <c r="B185" s="73">
        <f t="shared" si="2"/>
        <v>45844</v>
      </c>
      <c r="C185" s="48" t="s">
        <v>371</v>
      </c>
      <c r="D185" s="206"/>
      <c r="E185" s="106" t="s">
        <v>1230</v>
      </c>
      <c r="F185" s="152" t="s">
        <v>332</v>
      </c>
      <c r="G185" s="77" t="s">
        <v>355</v>
      </c>
      <c r="H185" s="48" t="s">
        <v>735</v>
      </c>
    </row>
    <row r="186" spans="1:13" ht="41.7" customHeight="1">
      <c r="A186" s="48" t="s">
        <v>1185</v>
      </c>
      <c r="B186" s="133">
        <f t="shared" si="2"/>
        <v>45851</v>
      </c>
      <c r="C186" s="77" t="s">
        <v>371</v>
      </c>
      <c r="D186" s="205"/>
      <c r="E186" s="77"/>
      <c r="F186" s="77" t="s">
        <v>332</v>
      </c>
      <c r="G186" s="77" t="s">
        <v>355</v>
      </c>
      <c r="H186" s="48"/>
      <c r="I186" t="s">
        <v>1228</v>
      </c>
    </row>
    <row r="187" spans="1:13" ht="41.7" customHeight="1">
      <c r="A187" s="48" t="s">
        <v>1061</v>
      </c>
      <c r="B187" s="73">
        <f t="shared" si="2"/>
        <v>45858</v>
      </c>
      <c r="C187" s="77" t="s">
        <v>371</v>
      </c>
      <c r="D187" s="207"/>
      <c r="E187" s="49" t="s">
        <v>1230</v>
      </c>
      <c r="F187" s="49"/>
      <c r="G187" s="89" t="s">
        <v>355</v>
      </c>
      <c r="H187" s="48"/>
      <c r="I187" t="s">
        <v>1204</v>
      </c>
      <c r="L187" t="s">
        <v>1215</v>
      </c>
    </row>
    <row r="188" spans="1:13" ht="41.7" customHeight="1">
      <c r="A188" s="48" t="s">
        <v>1062</v>
      </c>
      <c r="B188" s="73">
        <f t="shared" si="2"/>
        <v>45865</v>
      </c>
      <c r="C188" s="208"/>
      <c r="D188" s="211"/>
      <c r="E188" s="209" t="s">
        <v>1190</v>
      </c>
      <c r="F188" s="209"/>
      <c r="G188" s="210"/>
      <c r="H188" s="48"/>
      <c r="I188" t="s">
        <v>1204</v>
      </c>
    </row>
    <row r="189" spans="1:13" ht="41.7" customHeight="1">
      <c r="A189" s="48" t="s">
        <v>1063</v>
      </c>
      <c r="B189" s="73">
        <f t="shared" si="2"/>
        <v>45872</v>
      </c>
      <c r="C189" s="208"/>
      <c r="D189" s="211"/>
      <c r="E189" s="209" t="s">
        <v>1230</v>
      </c>
      <c r="F189" s="210"/>
      <c r="G189" s="89"/>
      <c r="H189" s="48"/>
      <c r="L189" s="214" t="s">
        <v>1218</v>
      </c>
    </row>
    <row r="190" spans="1:13" ht="41.7" customHeight="1">
      <c r="A190" s="48" t="s">
        <v>1064</v>
      </c>
      <c r="B190" s="73">
        <f t="shared" si="2"/>
        <v>45879</v>
      </c>
      <c r="C190" s="178"/>
      <c r="D190" s="205"/>
      <c r="E190" s="178"/>
      <c r="F190" s="178"/>
      <c r="G190" s="178"/>
      <c r="H190" s="48" t="s">
        <v>1068</v>
      </c>
      <c r="I190" t="s">
        <v>1193</v>
      </c>
      <c r="M190">
        <v>5</v>
      </c>
    </row>
    <row r="191" spans="1:13" ht="41.7" customHeight="1">
      <c r="A191" s="72" t="s">
        <v>1201</v>
      </c>
      <c r="B191" s="73">
        <f t="shared" si="2"/>
        <v>45886</v>
      </c>
      <c r="C191" s="178"/>
      <c r="D191" s="205"/>
      <c r="E191" s="178" t="s">
        <v>1230</v>
      </c>
      <c r="F191" s="178"/>
      <c r="G191" s="89"/>
      <c r="H191" s="48" t="s">
        <v>1068</v>
      </c>
      <c r="I191" t="s">
        <v>1194</v>
      </c>
      <c r="L191" t="s">
        <v>1219</v>
      </c>
    </row>
    <row r="192" spans="1:13" ht="41.7" customHeight="1">
      <c r="A192" s="48" t="s">
        <v>1065</v>
      </c>
      <c r="B192" s="73">
        <f t="shared" si="2"/>
        <v>45893</v>
      </c>
      <c r="C192" s="62"/>
      <c r="D192" s="212"/>
      <c r="E192" s="209" t="s">
        <v>1190</v>
      </c>
      <c r="F192" s="210"/>
      <c r="G192" s="77"/>
      <c r="H192" s="48" t="s">
        <v>1068</v>
      </c>
      <c r="I192" s="65" t="s">
        <v>1229</v>
      </c>
    </row>
    <row r="193" spans="1:13" ht="41.7" customHeight="1">
      <c r="A193" s="48" t="s">
        <v>1066</v>
      </c>
      <c r="B193" s="73">
        <f t="shared" si="2"/>
        <v>45900</v>
      </c>
      <c r="C193" s="77"/>
      <c r="D193" s="212" t="s">
        <v>1192</v>
      </c>
      <c r="E193" s="48" t="s">
        <v>375</v>
      </c>
      <c r="F193" s="195"/>
      <c r="G193" s="48"/>
      <c r="H193" s="48" t="s">
        <v>1068</v>
      </c>
    </row>
    <row r="194" spans="1:13" ht="41.7" customHeight="1">
      <c r="A194" s="48" t="s">
        <v>1067</v>
      </c>
      <c r="B194" s="73">
        <f t="shared" si="2"/>
        <v>45907</v>
      </c>
      <c r="C194" s="204" t="s">
        <v>1200</v>
      </c>
      <c r="D194" s="194"/>
      <c r="E194" s="48"/>
      <c r="F194" s="195"/>
      <c r="G194" s="48"/>
      <c r="H194" s="48" t="s">
        <v>1068</v>
      </c>
      <c r="M194" s="217" t="s">
        <v>1165</v>
      </c>
    </row>
    <row r="195" spans="1:13" ht="41.7" customHeight="1">
      <c r="A195" s="48"/>
      <c r="B195" s="73">
        <f t="shared" si="2"/>
        <v>45914</v>
      </c>
      <c r="C195" s="48"/>
      <c r="D195" s="194"/>
      <c r="E195" s="48"/>
      <c r="F195" s="196"/>
      <c r="G195" s="48"/>
      <c r="H195" s="48" t="s">
        <v>1068</v>
      </c>
      <c r="M195" s="217"/>
    </row>
    <row r="196" spans="1:13" ht="41.7" customHeight="1">
      <c r="A196" s="48"/>
      <c r="B196" s="73">
        <f t="shared" ref="B196:B259" si="3">B195+7</f>
        <v>45921</v>
      </c>
      <c r="C196" s="48"/>
      <c r="D196" s="194"/>
      <c r="E196" s="48"/>
      <c r="F196" s="196"/>
      <c r="G196" s="48"/>
      <c r="H196" s="48" t="s">
        <v>1068</v>
      </c>
    </row>
    <row r="197" spans="1:13" ht="41.7" customHeight="1">
      <c r="A197" s="48"/>
      <c r="B197" s="73">
        <f t="shared" si="3"/>
        <v>45928</v>
      </c>
      <c r="C197" s="48"/>
      <c r="D197" s="194"/>
      <c r="E197" s="48"/>
      <c r="F197" s="196"/>
      <c r="G197" s="48"/>
      <c r="H197" s="48" t="s">
        <v>1068</v>
      </c>
    </row>
    <row r="198" spans="1:13" ht="41.7" customHeight="1">
      <c r="A198" s="48"/>
      <c r="B198" s="73">
        <f t="shared" si="3"/>
        <v>45935</v>
      </c>
      <c r="C198" s="48"/>
      <c r="D198" s="194"/>
      <c r="E198" s="48"/>
      <c r="F198" s="196"/>
      <c r="G198" s="48"/>
      <c r="H198" s="48" t="s">
        <v>1068</v>
      </c>
    </row>
    <row r="199" spans="1:13" ht="41.7" customHeight="1">
      <c r="A199" s="48"/>
      <c r="B199" s="73">
        <f t="shared" si="3"/>
        <v>45942</v>
      </c>
      <c r="C199" s="106"/>
      <c r="D199" s="109"/>
      <c r="E199" s="106"/>
      <c r="F199" s="196"/>
      <c r="G199" s="106"/>
      <c r="H199" s="48" t="s">
        <v>1068</v>
      </c>
    </row>
    <row r="200" spans="1:13" ht="41.7" customHeight="1">
      <c r="A200" s="103"/>
      <c r="B200" s="61">
        <f t="shared" si="3"/>
        <v>45949</v>
      </c>
      <c r="C200" s="197"/>
      <c r="D200" s="198"/>
      <c r="E200" s="199"/>
      <c r="F200" s="200"/>
      <c r="G200" s="201"/>
      <c r="H200" s="48"/>
      <c r="M200">
        <v>5</v>
      </c>
    </row>
    <row r="201" spans="1:13" ht="41.7" customHeight="1">
      <c r="A201" s="48"/>
      <c r="B201" s="73">
        <f t="shared" si="3"/>
        <v>45956</v>
      </c>
      <c r="C201" s="188" t="s">
        <v>348</v>
      </c>
      <c r="D201" s="184" t="s">
        <v>374</v>
      </c>
      <c r="E201" s="135"/>
      <c r="F201" s="135"/>
      <c r="G201" s="136"/>
      <c r="H201" s="48"/>
    </row>
    <row r="202" spans="1:13" ht="41.7" customHeight="1">
      <c r="A202" s="48"/>
      <c r="B202" s="73">
        <f t="shared" si="3"/>
        <v>45963</v>
      </c>
      <c r="C202" s="48"/>
      <c r="D202" s="48"/>
      <c r="E202" s="48"/>
      <c r="F202" s="146"/>
      <c r="G202" s="48"/>
      <c r="H202" s="48"/>
    </row>
    <row r="203" spans="1:13" ht="41.7" customHeight="1">
      <c r="A203" s="48"/>
      <c r="B203" s="73">
        <f t="shared" si="3"/>
        <v>45970</v>
      </c>
      <c r="C203" s="48"/>
      <c r="D203" s="48"/>
      <c r="E203" s="48"/>
      <c r="F203" s="146"/>
      <c r="G203" s="48"/>
      <c r="H203" s="48"/>
    </row>
    <row r="204" spans="1:13" ht="41.7" customHeight="1">
      <c r="A204" s="48"/>
      <c r="B204" s="73">
        <f t="shared" si="3"/>
        <v>45977</v>
      </c>
      <c r="C204" s="48"/>
      <c r="D204" s="48"/>
      <c r="E204" s="48"/>
      <c r="F204" s="146"/>
      <c r="G204" s="48"/>
      <c r="H204" s="48"/>
    </row>
    <row r="205" spans="1:13" ht="41.7" customHeight="1">
      <c r="A205" s="48"/>
      <c r="B205" s="73">
        <f t="shared" si="3"/>
        <v>45984</v>
      </c>
      <c r="C205" s="48"/>
      <c r="D205" s="48"/>
      <c r="E205" s="48"/>
      <c r="F205" s="146"/>
      <c r="G205" s="48"/>
      <c r="H205" s="48"/>
    </row>
    <row r="206" spans="1:13" ht="41.7" customHeight="1">
      <c r="A206" s="48"/>
      <c r="B206" s="73">
        <f t="shared" si="3"/>
        <v>45991</v>
      </c>
      <c r="C206" s="48"/>
      <c r="D206" s="48"/>
      <c r="E206" s="48"/>
      <c r="F206" s="146"/>
      <c r="G206" s="48"/>
      <c r="H206" s="48"/>
    </row>
    <row r="207" spans="1:13" ht="41.7" customHeight="1">
      <c r="A207" s="48"/>
      <c r="B207" s="73">
        <f t="shared" si="3"/>
        <v>45998</v>
      </c>
      <c r="C207" s="48"/>
      <c r="D207" s="48"/>
      <c r="E207" s="48"/>
      <c r="F207" s="146"/>
      <c r="G207" s="90" t="s">
        <v>373</v>
      </c>
      <c r="H207" s="48"/>
    </row>
    <row r="208" spans="1:13" ht="41.7" customHeight="1">
      <c r="A208" s="48"/>
      <c r="B208" s="73">
        <f t="shared" si="3"/>
        <v>46005</v>
      </c>
      <c r="C208" s="77"/>
      <c r="D208" s="77"/>
      <c r="E208" s="77"/>
      <c r="F208" s="147"/>
      <c r="G208" s="77"/>
      <c r="H208" s="48"/>
    </row>
    <row r="209" spans="1:13" ht="41.7" customHeight="1">
      <c r="A209" s="48"/>
      <c r="B209" s="73">
        <f t="shared" si="3"/>
        <v>46012</v>
      </c>
      <c r="C209" s="77" t="s">
        <v>348</v>
      </c>
      <c r="D209" s="77"/>
      <c r="E209" s="77"/>
      <c r="F209" s="62"/>
      <c r="G209" s="62"/>
      <c r="H209" s="48"/>
      <c r="M209">
        <v>3</v>
      </c>
    </row>
    <row r="210" spans="1:13" ht="41.7" customHeight="1">
      <c r="A210" s="48"/>
      <c r="B210" s="73">
        <f t="shared" si="3"/>
        <v>46019</v>
      </c>
      <c r="C210" s="77"/>
      <c r="D210" s="77"/>
      <c r="E210" s="77"/>
      <c r="F210" s="62"/>
      <c r="G210" s="77"/>
      <c r="H210" s="48"/>
      <c r="M210">
        <v>3</v>
      </c>
    </row>
    <row r="211" spans="1:13" ht="41.7" customHeight="1">
      <c r="A211" s="48"/>
      <c r="B211" s="73">
        <f t="shared" si="3"/>
        <v>46026</v>
      </c>
      <c r="C211" s="77"/>
      <c r="D211" s="48"/>
      <c r="E211" s="48"/>
      <c r="F211" s="48"/>
      <c r="G211" s="48"/>
      <c r="H211" s="48"/>
      <c r="M211">
        <v>2</v>
      </c>
    </row>
    <row r="212" spans="1:13" ht="41.7" customHeight="1">
      <c r="A212" s="48"/>
      <c r="B212" s="73">
        <f t="shared" si="3"/>
        <v>46033</v>
      </c>
      <c r="C212" s="48"/>
      <c r="D212" s="48"/>
      <c r="E212" s="48"/>
      <c r="F212" s="48"/>
      <c r="G212" s="48"/>
      <c r="H212" s="48"/>
    </row>
    <row r="213" spans="1:13" ht="41.7" customHeight="1">
      <c r="A213" s="48"/>
      <c r="B213" s="73">
        <f t="shared" si="3"/>
        <v>46040</v>
      </c>
      <c r="C213" s="48"/>
      <c r="D213" s="48"/>
      <c r="E213" s="48"/>
      <c r="F213" s="48"/>
      <c r="G213" s="48"/>
      <c r="H213" s="48"/>
    </row>
    <row r="214" spans="1:13" ht="41.7" customHeight="1">
      <c r="A214" s="48"/>
      <c r="B214" s="73">
        <f t="shared" si="3"/>
        <v>46047</v>
      </c>
      <c r="C214" s="48"/>
      <c r="D214" s="48"/>
      <c r="E214" s="48"/>
      <c r="F214" s="48"/>
      <c r="G214" s="48"/>
      <c r="H214" s="48"/>
    </row>
    <row r="215" spans="1:13" ht="41.7" customHeight="1">
      <c r="A215" s="48"/>
      <c r="B215" s="73">
        <f t="shared" si="3"/>
        <v>46054</v>
      </c>
      <c r="C215" s="48"/>
      <c r="D215" s="48"/>
      <c r="E215" s="48"/>
      <c r="F215" s="48"/>
      <c r="G215" s="48"/>
      <c r="H215" s="48"/>
    </row>
    <row r="216" spans="1:13" ht="41.7" customHeight="1">
      <c r="A216" s="48"/>
      <c r="B216" s="73">
        <f t="shared" si="3"/>
        <v>46061</v>
      </c>
      <c r="C216" s="48"/>
      <c r="D216" s="48"/>
      <c r="E216" s="48"/>
      <c r="F216" s="48"/>
      <c r="G216" s="48"/>
      <c r="H216" s="48"/>
    </row>
    <row r="217" spans="1:13" ht="41.7" customHeight="1">
      <c r="A217" s="48"/>
      <c r="B217" s="73">
        <f t="shared" si="3"/>
        <v>46068</v>
      </c>
      <c r="C217" s="77"/>
      <c r="D217" s="77"/>
      <c r="E217" s="77"/>
      <c r="F217" s="77"/>
      <c r="G217" s="77"/>
      <c r="H217" s="48"/>
    </row>
    <row r="218" spans="1:13" ht="41.7" customHeight="1">
      <c r="A218" s="48"/>
      <c r="B218" s="73">
        <f t="shared" si="3"/>
        <v>46075</v>
      </c>
      <c r="C218" s="48"/>
      <c r="D218" s="48"/>
      <c r="E218" s="48"/>
      <c r="F218" s="48"/>
      <c r="G218" s="48"/>
      <c r="H218" s="48"/>
    </row>
    <row r="219" spans="1:13" ht="41.7" customHeight="1">
      <c r="A219" s="48"/>
      <c r="B219" s="73">
        <f t="shared" si="3"/>
        <v>46082</v>
      </c>
      <c r="C219" s="48"/>
      <c r="D219" s="48"/>
      <c r="E219" s="48"/>
      <c r="F219" s="48"/>
      <c r="G219" s="48"/>
      <c r="H219" s="48"/>
    </row>
    <row r="220" spans="1:13" ht="41.7" customHeight="1">
      <c r="A220" s="48"/>
      <c r="B220" s="73">
        <f t="shared" si="3"/>
        <v>46089</v>
      </c>
      <c r="C220" s="48"/>
      <c r="D220" s="48"/>
      <c r="E220" s="48"/>
      <c r="F220" s="48"/>
      <c r="G220" s="48"/>
      <c r="H220" s="48"/>
    </row>
    <row r="221" spans="1:13" ht="41.7" customHeight="1">
      <c r="A221" s="48"/>
      <c r="B221" s="73">
        <f t="shared" si="3"/>
        <v>46096</v>
      </c>
      <c r="C221" s="48"/>
      <c r="D221" s="48"/>
      <c r="E221" s="48"/>
      <c r="F221" s="48"/>
      <c r="G221" s="48"/>
      <c r="H221" s="48"/>
    </row>
    <row r="222" spans="1:13" ht="41.7" customHeight="1">
      <c r="A222" s="48"/>
      <c r="B222" s="73">
        <f t="shared" si="3"/>
        <v>46103</v>
      </c>
      <c r="C222" s="48"/>
      <c r="D222" s="48"/>
      <c r="E222" s="48"/>
      <c r="F222" s="48"/>
      <c r="G222" s="90" t="s">
        <v>373</v>
      </c>
      <c r="H222" s="48"/>
    </row>
    <row r="223" spans="1:13" ht="41.7" customHeight="1">
      <c r="A223" s="48"/>
      <c r="B223" s="73">
        <f t="shared" si="3"/>
        <v>46110</v>
      </c>
      <c r="C223" s="134"/>
      <c r="D223" s="137"/>
      <c r="E223" s="221" t="s">
        <v>348</v>
      </c>
      <c r="F223" s="137"/>
      <c r="G223" s="170"/>
      <c r="H223" s="48"/>
      <c r="I223" t="s">
        <v>1069</v>
      </c>
    </row>
    <row r="224" spans="1:13" ht="41.7" customHeight="1">
      <c r="A224" s="48"/>
      <c r="B224" s="73">
        <f t="shared" si="3"/>
        <v>46117</v>
      </c>
      <c r="C224" s="171"/>
      <c r="D224" s="135"/>
      <c r="E224" s="227"/>
      <c r="F224" s="135"/>
      <c r="G224" s="136"/>
      <c r="H224" s="48"/>
    </row>
    <row r="225" spans="1:8" ht="41.7" customHeight="1">
      <c r="A225" s="48"/>
      <c r="B225" s="73">
        <f t="shared" si="3"/>
        <v>46124</v>
      </c>
      <c r="C225" s="77"/>
      <c r="D225" s="77"/>
      <c r="E225" s="77"/>
      <c r="F225" s="77"/>
      <c r="G225" s="77"/>
      <c r="H225" s="48"/>
    </row>
    <row r="226" spans="1:8" ht="41.7" customHeight="1">
      <c r="A226" s="48"/>
      <c r="B226" s="73">
        <f t="shared" si="3"/>
        <v>46131</v>
      </c>
      <c r="C226" s="77"/>
      <c r="D226" s="48" t="s">
        <v>375</v>
      </c>
      <c r="E226" s="48"/>
      <c r="F226" s="48"/>
      <c r="G226" s="48"/>
      <c r="H226" s="48"/>
    </row>
    <row r="227" spans="1:8" ht="41.7" customHeight="1">
      <c r="A227" s="48"/>
      <c r="B227" s="73">
        <f t="shared" si="3"/>
        <v>46138</v>
      </c>
      <c r="C227" s="48"/>
      <c r="D227" s="48"/>
      <c r="E227" s="48"/>
      <c r="F227" s="48"/>
      <c r="G227" s="48"/>
      <c r="H227" s="48"/>
    </row>
    <row r="228" spans="1:8" ht="41.7" customHeight="1">
      <c r="A228" s="48"/>
      <c r="B228" s="73">
        <f t="shared" si="3"/>
        <v>46145</v>
      </c>
      <c r="C228" s="62"/>
      <c r="D228" s="48"/>
      <c r="E228" s="48"/>
      <c r="F228" s="48"/>
      <c r="G228" s="48"/>
      <c r="H228" s="48"/>
    </row>
    <row r="229" spans="1:8" ht="41.7" customHeight="1">
      <c r="A229" s="48"/>
      <c r="B229" s="73">
        <f t="shared" si="3"/>
        <v>46152</v>
      </c>
      <c r="C229" s="48"/>
      <c r="D229" s="48"/>
      <c r="E229" s="48"/>
      <c r="F229" s="48"/>
      <c r="G229" s="48"/>
      <c r="H229" s="48"/>
    </row>
    <row r="230" spans="1:8" ht="41.7" customHeight="1">
      <c r="A230" s="48"/>
      <c r="B230" s="73">
        <f t="shared" si="3"/>
        <v>46159</v>
      </c>
      <c r="C230" s="48"/>
      <c r="D230" s="48"/>
      <c r="E230" s="48"/>
      <c r="F230" s="48"/>
      <c r="G230" s="48"/>
      <c r="H230" s="48"/>
    </row>
    <row r="231" spans="1:8" ht="41.7" customHeight="1">
      <c r="A231" s="48"/>
      <c r="B231" s="73">
        <f t="shared" si="3"/>
        <v>46166</v>
      </c>
      <c r="C231" s="62"/>
      <c r="D231" s="77"/>
      <c r="E231" s="77"/>
      <c r="F231" s="77"/>
      <c r="G231" s="77"/>
      <c r="H231" s="48"/>
    </row>
    <row r="232" spans="1:8" ht="41.7" customHeight="1">
      <c r="A232" s="48"/>
      <c r="B232" s="73">
        <f t="shared" si="3"/>
        <v>46173</v>
      </c>
      <c r="C232" s="48"/>
      <c r="D232" s="48"/>
      <c r="E232" s="48"/>
      <c r="F232" s="48"/>
      <c r="G232" s="48"/>
      <c r="H232" s="48"/>
    </row>
    <row r="233" spans="1:8" ht="41.7" customHeight="1">
      <c r="A233" s="48"/>
      <c r="B233" s="73">
        <f t="shared" si="3"/>
        <v>46180</v>
      </c>
      <c r="C233" s="48"/>
      <c r="D233" s="48"/>
      <c r="E233" s="48"/>
      <c r="F233" s="48"/>
      <c r="G233" s="48"/>
      <c r="H233" s="48"/>
    </row>
    <row r="234" spans="1:8" ht="41.7" customHeight="1">
      <c r="A234" s="48"/>
      <c r="B234" s="73">
        <f t="shared" si="3"/>
        <v>46187</v>
      </c>
      <c r="C234" s="48"/>
      <c r="D234" s="48"/>
      <c r="E234" s="48"/>
      <c r="F234" s="48"/>
      <c r="G234" s="48"/>
      <c r="H234" s="48"/>
    </row>
    <row r="235" spans="1:8" ht="41.7" customHeight="1">
      <c r="A235" s="48"/>
      <c r="B235" s="73">
        <f t="shared" si="3"/>
        <v>46194</v>
      </c>
      <c r="C235" s="48"/>
      <c r="D235" s="48"/>
      <c r="E235" s="48"/>
      <c r="F235" s="48"/>
      <c r="G235" s="48"/>
      <c r="H235" s="48"/>
    </row>
    <row r="236" spans="1:8" ht="41.7" customHeight="1">
      <c r="A236" s="48"/>
      <c r="B236" s="73">
        <f t="shared" si="3"/>
        <v>46201</v>
      </c>
      <c r="C236" s="48"/>
      <c r="D236" s="48"/>
      <c r="E236" s="48"/>
      <c r="F236" s="48"/>
      <c r="G236" s="48"/>
      <c r="H236" s="48"/>
    </row>
    <row r="237" spans="1:8" ht="41.7" customHeight="1">
      <c r="B237" s="73">
        <f t="shared" si="3"/>
        <v>46208</v>
      </c>
      <c r="C237" s="48"/>
      <c r="D237" s="48"/>
      <c r="E237" s="90" t="s">
        <v>373</v>
      </c>
      <c r="F237" s="29"/>
      <c r="G237" s="77"/>
      <c r="H237" s="48"/>
    </row>
    <row r="238" spans="1:8" ht="41.7" customHeight="1">
      <c r="B238" s="73">
        <f t="shared" si="3"/>
        <v>46215</v>
      </c>
      <c r="C238" s="77"/>
      <c r="D238" s="77"/>
      <c r="E238" s="77"/>
      <c r="F238" s="77"/>
      <c r="G238" s="77"/>
      <c r="H238" s="48"/>
    </row>
    <row r="239" spans="1:8" ht="41.7" customHeight="1">
      <c r="B239" s="73">
        <f t="shared" si="3"/>
        <v>46222</v>
      </c>
      <c r="C239" s="77"/>
      <c r="D239" s="77"/>
      <c r="E239" s="77"/>
      <c r="F239" s="77"/>
      <c r="G239" s="77"/>
      <c r="H239" s="48"/>
    </row>
    <row r="240" spans="1:8" ht="41.7" customHeight="1">
      <c r="B240" s="73">
        <f t="shared" si="3"/>
        <v>46229</v>
      </c>
      <c r="C240" s="77"/>
      <c r="D240" s="77"/>
      <c r="E240" s="77"/>
      <c r="F240" s="77"/>
      <c r="G240" s="77"/>
      <c r="H240" s="48"/>
    </row>
    <row r="241" spans="2:8" ht="41.7" customHeight="1">
      <c r="B241" s="73">
        <f t="shared" si="3"/>
        <v>46236</v>
      </c>
      <c r="C241" s="77"/>
      <c r="D241" s="77"/>
      <c r="E241" s="77"/>
      <c r="F241" s="77"/>
      <c r="G241" s="77"/>
      <c r="H241" s="48"/>
    </row>
    <row r="242" spans="2:8" ht="41.7" customHeight="1">
      <c r="B242" s="73">
        <f t="shared" si="3"/>
        <v>46243</v>
      </c>
      <c r="C242" s="77"/>
      <c r="D242" s="77"/>
      <c r="E242" s="77"/>
      <c r="F242" s="77"/>
      <c r="G242" s="77"/>
      <c r="H242" s="48"/>
    </row>
    <row r="243" spans="2:8" ht="41.7" customHeight="1">
      <c r="B243" s="73">
        <f t="shared" si="3"/>
        <v>46250</v>
      </c>
      <c r="C243" s="77"/>
      <c r="D243" s="77"/>
      <c r="E243" s="77"/>
      <c r="F243" s="77"/>
      <c r="G243" s="77"/>
      <c r="H243" s="48"/>
    </row>
    <row r="244" spans="2:8" ht="41.7" customHeight="1">
      <c r="B244" s="73">
        <f t="shared" si="3"/>
        <v>46257</v>
      </c>
      <c r="C244" s="77"/>
      <c r="D244" s="77"/>
      <c r="E244" s="77"/>
      <c r="F244" s="77"/>
      <c r="G244" s="77"/>
      <c r="H244" s="48"/>
    </row>
    <row r="245" spans="2:8" ht="41.7" customHeight="1">
      <c r="B245" s="73">
        <f t="shared" si="3"/>
        <v>46264</v>
      </c>
      <c r="C245" s="62"/>
      <c r="D245" s="77"/>
      <c r="E245" s="77"/>
      <c r="F245" s="48"/>
      <c r="G245" s="48"/>
      <c r="H245" s="48"/>
    </row>
    <row r="246" spans="2:8" ht="41.7" customHeight="1">
      <c r="B246" s="73">
        <f t="shared" si="3"/>
        <v>46271</v>
      </c>
      <c r="C246" s="48"/>
      <c r="D246" s="48"/>
      <c r="E246" s="48"/>
      <c r="F246" s="48"/>
      <c r="G246" s="48"/>
      <c r="H246" s="48"/>
    </row>
    <row r="247" spans="2:8" ht="41.7" customHeight="1">
      <c r="B247" s="73">
        <f t="shared" si="3"/>
        <v>46278</v>
      </c>
      <c r="C247" s="48"/>
      <c r="D247" s="48"/>
      <c r="E247" s="48"/>
      <c r="F247" s="48"/>
      <c r="G247" s="48"/>
      <c r="H247" s="48"/>
    </row>
    <row r="248" spans="2:8" ht="41.7" customHeight="1">
      <c r="B248" s="73">
        <f t="shared" si="3"/>
        <v>46285</v>
      </c>
      <c r="C248" s="48"/>
      <c r="D248" s="48"/>
      <c r="E248" s="48"/>
      <c r="F248" s="48"/>
      <c r="G248" s="48"/>
      <c r="H248" s="48"/>
    </row>
    <row r="249" spans="2:8" ht="41.7" customHeight="1">
      <c r="B249" s="73">
        <f t="shared" si="3"/>
        <v>46292</v>
      </c>
      <c r="C249" s="48"/>
      <c r="D249" s="48"/>
      <c r="E249" s="48"/>
      <c r="F249" s="48"/>
      <c r="G249" s="48"/>
      <c r="H249" s="48"/>
    </row>
    <row r="250" spans="2:8" ht="41.7" customHeight="1">
      <c r="B250" s="73">
        <f t="shared" si="3"/>
        <v>46299</v>
      </c>
      <c r="C250" s="48"/>
      <c r="D250" s="48"/>
      <c r="E250" s="48"/>
      <c r="F250" s="48"/>
      <c r="G250" s="48"/>
      <c r="H250" s="48"/>
    </row>
    <row r="251" spans="2:8" ht="41.7" customHeight="1">
      <c r="B251" s="73">
        <f t="shared" si="3"/>
        <v>46306</v>
      </c>
      <c r="C251" s="48"/>
      <c r="D251" s="48"/>
      <c r="E251" s="48"/>
      <c r="F251" s="48"/>
      <c r="G251" s="48"/>
      <c r="H251" s="48"/>
    </row>
    <row r="252" spans="2:8" ht="41.7" customHeight="1">
      <c r="B252" s="73">
        <f t="shared" si="3"/>
        <v>46313</v>
      </c>
      <c r="C252" s="48"/>
      <c r="D252" s="48"/>
      <c r="E252" s="48"/>
      <c r="F252" s="48"/>
      <c r="G252" s="48"/>
      <c r="H252" s="48"/>
    </row>
    <row r="253" spans="2:8" ht="41.7" customHeight="1">
      <c r="B253" s="73">
        <f t="shared" si="3"/>
        <v>46320</v>
      </c>
      <c r="C253" s="48"/>
      <c r="D253" s="48"/>
      <c r="E253" s="48"/>
      <c r="F253" s="48"/>
      <c r="G253" s="48"/>
      <c r="H253" s="48"/>
    </row>
    <row r="254" spans="2:8" ht="41.7" customHeight="1">
      <c r="B254" s="73">
        <f t="shared" si="3"/>
        <v>46327</v>
      </c>
      <c r="C254" s="48"/>
      <c r="D254" s="48"/>
      <c r="E254" s="48"/>
      <c r="F254" s="48"/>
      <c r="G254" s="48"/>
      <c r="H254" s="48"/>
    </row>
    <row r="255" spans="2:8" ht="41.7" customHeight="1">
      <c r="B255" s="73">
        <f t="shared" si="3"/>
        <v>46334</v>
      </c>
      <c r="C255" s="48"/>
      <c r="D255" s="48"/>
      <c r="E255" s="48"/>
      <c r="F255" s="48"/>
      <c r="G255" s="48"/>
      <c r="H255" s="48"/>
    </row>
    <row r="256" spans="2:8" ht="41.7" customHeight="1">
      <c r="B256" s="73">
        <f t="shared" si="3"/>
        <v>46341</v>
      </c>
      <c r="C256" s="48"/>
      <c r="D256" s="48"/>
      <c r="E256" s="48"/>
      <c r="F256" s="48"/>
      <c r="G256" s="48"/>
      <c r="H256" s="48"/>
    </row>
    <row r="257" spans="2:8" ht="41.7" customHeight="1">
      <c r="B257" s="73">
        <f t="shared" si="3"/>
        <v>46348</v>
      </c>
      <c r="C257" s="48"/>
      <c r="D257" s="48"/>
      <c r="E257" s="48"/>
      <c r="F257" s="48"/>
      <c r="G257" s="48"/>
      <c r="H257" s="48"/>
    </row>
    <row r="258" spans="2:8" ht="41.7" customHeight="1">
      <c r="B258" s="73">
        <f t="shared" si="3"/>
        <v>46355</v>
      </c>
      <c r="C258" s="48"/>
      <c r="D258" s="48"/>
      <c r="E258" s="48"/>
      <c r="F258" s="48"/>
      <c r="G258" s="48"/>
      <c r="H258" s="48"/>
    </row>
    <row r="259" spans="2:8" ht="41.7" customHeight="1">
      <c r="B259" s="73">
        <f t="shared" si="3"/>
        <v>46362</v>
      </c>
      <c r="C259" s="48"/>
      <c r="D259" s="48"/>
      <c r="E259" s="48"/>
      <c r="F259" s="48"/>
      <c r="G259" s="77"/>
      <c r="H259" s="48"/>
    </row>
    <row r="260" spans="2:8" ht="41.7" customHeight="1">
      <c r="B260" s="73">
        <f t="shared" ref="B260:B287" si="4">B259+7</f>
        <v>46369</v>
      </c>
      <c r="C260" s="48"/>
      <c r="D260" s="48"/>
      <c r="E260" s="48"/>
      <c r="F260" s="48"/>
      <c r="G260" s="48"/>
      <c r="H260" s="48"/>
    </row>
    <row r="261" spans="2:8" ht="41.7" customHeight="1">
      <c r="B261" s="73">
        <f t="shared" si="4"/>
        <v>46376</v>
      </c>
      <c r="C261" s="218">
        <v>4</v>
      </c>
      <c r="D261" s="236"/>
      <c r="E261" s="236"/>
      <c r="F261" s="219"/>
      <c r="G261" s="62"/>
      <c r="H261" s="48"/>
    </row>
    <row r="262" spans="2:8" ht="41.7" customHeight="1">
      <c r="B262" s="73">
        <f t="shared" si="4"/>
        <v>46383</v>
      </c>
      <c r="C262" s="62"/>
      <c r="D262" s="218">
        <v>3</v>
      </c>
      <c r="E262" s="236"/>
      <c r="F262" s="219"/>
      <c r="G262" s="62"/>
      <c r="H262" s="48"/>
    </row>
    <row r="263" spans="2:8" ht="41.7" customHeight="1">
      <c r="B263" s="73">
        <f t="shared" si="4"/>
        <v>46390</v>
      </c>
      <c r="C263" s="48"/>
      <c r="D263" s="48"/>
      <c r="E263" s="48"/>
      <c r="F263" s="48"/>
      <c r="G263" s="48"/>
      <c r="H263" s="48"/>
    </row>
    <row r="264" spans="2:8" ht="41.7" customHeight="1">
      <c r="B264" s="73">
        <f t="shared" si="4"/>
        <v>46397</v>
      </c>
      <c r="C264" s="48"/>
      <c r="D264" s="48"/>
      <c r="E264" s="48"/>
      <c r="F264" s="48"/>
      <c r="G264" s="48"/>
      <c r="H264" s="48"/>
    </row>
    <row r="265" spans="2:8" ht="41.7" customHeight="1">
      <c r="B265" s="73">
        <f t="shared" si="4"/>
        <v>46404</v>
      </c>
      <c r="C265" s="48"/>
      <c r="D265" s="48"/>
      <c r="E265" s="48"/>
      <c r="F265" s="48"/>
      <c r="G265" s="48"/>
      <c r="H265" s="48"/>
    </row>
    <row r="266" spans="2:8" ht="41.7" customHeight="1">
      <c r="B266" s="73">
        <f t="shared" si="4"/>
        <v>46411</v>
      </c>
      <c r="C266" s="48"/>
      <c r="D266" s="48"/>
      <c r="E266" s="48"/>
      <c r="F266" s="48"/>
      <c r="G266" s="48"/>
      <c r="H266" s="48"/>
    </row>
    <row r="267" spans="2:8" ht="41.7" customHeight="1">
      <c r="B267" s="73">
        <f t="shared" si="4"/>
        <v>46418</v>
      </c>
      <c r="C267" s="48"/>
      <c r="D267" s="48"/>
      <c r="E267" s="48"/>
      <c r="F267" s="48"/>
      <c r="G267" s="48"/>
      <c r="H267" s="48"/>
    </row>
    <row r="268" spans="2:8" ht="41.7" customHeight="1">
      <c r="B268" s="73">
        <f t="shared" si="4"/>
        <v>46425</v>
      </c>
      <c r="C268" s="48"/>
      <c r="D268" s="48"/>
      <c r="E268" s="48"/>
      <c r="F268" s="48"/>
      <c r="G268" s="48"/>
      <c r="H268" s="48"/>
    </row>
    <row r="269" spans="2:8" ht="41.7" customHeight="1">
      <c r="B269" s="73">
        <f t="shared" si="4"/>
        <v>46432</v>
      </c>
      <c r="C269" s="48"/>
      <c r="D269" s="48"/>
      <c r="E269" s="48"/>
      <c r="F269" s="48"/>
      <c r="G269" s="48"/>
      <c r="H269" s="48"/>
    </row>
    <row r="270" spans="2:8" ht="41.7" customHeight="1">
      <c r="B270" s="73">
        <f t="shared" si="4"/>
        <v>46439</v>
      </c>
      <c r="C270" s="48"/>
      <c r="D270" s="48"/>
      <c r="E270" s="48"/>
      <c r="F270" s="48"/>
      <c r="G270" s="48"/>
      <c r="H270" s="48"/>
    </row>
    <row r="271" spans="2:8" ht="41.7" customHeight="1">
      <c r="B271" s="73">
        <f t="shared" si="4"/>
        <v>46446</v>
      </c>
      <c r="C271" s="48"/>
      <c r="D271" s="48"/>
      <c r="E271" s="48"/>
      <c r="F271" s="48"/>
      <c r="G271" s="48"/>
      <c r="H271" s="48"/>
    </row>
    <row r="272" spans="2:8" ht="41.7" customHeight="1">
      <c r="B272" s="73">
        <f t="shared" si="4"/>
        <v>46453</v>
      </c>
      <c r="C272" s="48"/>
      <c r="D272" s="48"/>
      <c r="E272" s="48"/>
      <c r="F272" s="48"/>
      <c r="G272" s="48"/>
      <c r="H272" s="48"/>
    </row>
    <row r="273" spans="2:8" ht="41.7" customHeight="1">
      <c r="B273" s="73">
        <f t="shared" si="4"/>
        <v>46460</v>
      </c>
      <c r="C273" s="48"/>
      <c r="D273" s="48"/>
      <c r="E273" s="48"/>
      <c r="F273" s="48"/>
      <c r="G273" s="48"/>
      <c r="H273" s="48"/>
    </row>
    <row r="274" spans="2:8" ht="41.7" customHeight="1">
      <c r="B274" s="73">
        <f t="shared" si="4"/>
        <v>46467</v>
      </c>
      <c r="C274" s="48"/>
      <c r="D274" s="48"/>
      <c r="E274" s="48"/>
      <c r="F274" s="48"/>
      <c r="G274" s="62"/>
      <c r="H274" s="48"/>
    </row>
    <row r="275" spans="2:8" ht="41.7" customHeight="1">
      <c r="B275" s="73">
        <f t="shared" si="4"/>
        <v>46474</v>
      </c>
      <c r="C275" s="62"/>
      <c r="D275" s="48"/>
      <c r="E275" s="48"/>
      <c r="F275" s="48"/>
      <c r="G275" s="48"/>
      <c r="H275" s="48"/>
    </row>
    <row r="276" spans="2:8" ht="41.7" customHeight="1">
      <c r="B276" s="73">
        <f t="shared" si="4"/>
        <v>46481</v>
      </c>
      <c r="C276" s="48"/>
      <c r="D276" s="48"/>
      <c r="E276" s="48"/>
      <c r="F276" s="48"/>
      <c r="G276" s="48"/>
      <c r="H276" s="48"/>
    </row>
    <row r="277" spans="2:8" ht="41.7" customHeight="1">
      <c r="B277" s="73">
        <f t="shared" si="4"/>
        <v>46488</v>
      </c>
      <c r="C277" s="48"/>
      <c r="D277" s="48"/>
      <c r="E277" s="48"/>
      <c r="F277" s="48"/>
      <c r="G277" s="48"/>
      <c r="H277" s="48"/>
    </row>
    <row r="278" spans="2:8" ht="41.7" customHeight="1">
      <c r="B278" s="73">
        <f t="shared" si="4"/>
        <v>46495</v>
      </c>
      <c r="C278" s="48"/>
      <c r="D278" s="48"/>
      <c r="E278" s="48"/>
      <c r="F278" s="48"/>
      <c r="G278" s="48"/>
      <c r="H278" s="48"/>
    </row>
    <row r="279" spans="2:8" ht="41.7" customHeight="1">
      <c r="B279" s="73">
        <f t="shared" si="4"/>
        <v>46502</v>
      </c>
      <c r="C279" s="48"/>
      <c r="D279" s="48"/>
      <c r="E279" s="48"/>
      <c r="F279" s="48"/>
      <c r="G279" s="48"/>
      <c r="H279" s="48"/>
    </row>
    <row r="280" spans="2:8" ht="41.7" customHeight="1">
      <c r="B280" s="73">
        <f t="shared" si="4"/>
        <v>46509</v>
      </c>
      <c r="C280" s="48"/>
      <c r="D280" s="48"/>
      <c r="E280" s="48"/>
      <c r="F280" s="48"/>
      <c r="G280" s="48"/>
      <c r="H280" s="48"/>
    </row>
    <row r="281" spans="2:8" ht="41.7" customHeight="1">
      <c r="B281" s="73">
        <f t="shared" si="4"/>
        <v>46516</v>
      </c>
      <c r="C281" s="48"/>
      <c r="D281" s="48"/>
      <c r="E281" s="48"/>
      <c r="F281" s="48"/>
      <c r="G281" s="48"/>
      <c r="H281" s="48"/>
    </row>
    <row r="282" spans="2:8" ht="41.7" customHeight="1">
      <c r="B282" s="73">
        <f t="shared" si="4"/>
        <v>46523</v>
      </c>
      <c r="C282" s="48"/>
      <c r="D282" s="48"/>
      <c r="E282" s="48"/>
      <c r="F282" s="48"/>
      <c r="G282" s="48"/>
      <c r="H282" s="48"/>
    </row>
    <row r="283" spans="2:8" ht="41.7" customHeight="1">
      <c r="B283" s="73">
        <f t="shared" si="4"/>
        <v>46530</v>
      </c>
      <c r="C283" s="48"/>
      <c r="D283" s="48"/>
      <c r="E283" s="48"/>
      <c r="F283" s="48"/>
      <c r="G283" s="48"/>
      <c r="H283" s="48"/>
    </row>
    <row r="284" spans="2:8" ht="41.7" customHeight="1">
      <c r="B284" s="73">
        <f t="shared" si="4"/>
        <v>46537</v>
      </c>
      <c r="C284" s="48"/>
      <c r="D284" s="48"/>
      <c r="E284" s="48"/>
      <c r="F284" s="48"/>
      <c r="G284" s="48"/>
      <c r="H284" s="48"/>
    </row>
    <row r="285" spans="2:8" ht="41.7" customHeight="1">
      <c r="B285" s="73">
        <f t="shared" si="4"/>
        <v>46544</v>
      </c>
      <c r="C285" s="48"/>
      <c r="D285" s="48"/>
      <c r="E285" s="48"/>
      <c r="F285" s="48"/>
      <c r="G285" s="48"/>
      <c r="H285" s="48"/>
    </row>
    <row r="286" spans="2:8" ht="41.7" customHeight="1">
      <c r="B286" s="73">
        <f t="shared" si="4"/>
        <v>46551</v>
      </c>
      <c r="C286" s="48"/>
      <c r="D286" s="48"/>
      <c r="E286" s="48"/>
      <c r="F286" s="48"/>
      <c r="G286" s="48"/>
      <c r="H286" s="48"/>
    </row>
    <row r="287" spans="2:8" ht="41.7" customHeight="1">
      <c r="B287" s="73">
        <f t="shared" si="4"/>
        <v>46558</v>
      </c>
      <c r="C287" s="48"/>
      <c r="D287" s="48"/>
      <c r="E287" s="48"/>
      <c r="F287" s="48"/>
      <c r="G287" s="48"/>
      <c r="H287" s="48"/>
    </row>
  </sheetData>
  <mergeCells count="34">
    <mergeCell ref="C261:F261"/>
    <mergeCell ref="D262:F262"/>
    <mergeCell ref="E223:E224"/>
    <mergeCell ref="L148:L149"/>
    <mergeCell ref="L154:L155"/>
    <mergeCell ref="F162:G162"/>
    <mergeCell ref="F179:G179"/>
    <mergeCell ref="D179:E179"/>
    <mergeCell ref="C6:D6"/>
    <mergeCell ref="C16:F16"/>
    <mergeCell ref="E24:G24"/>
    <mergeCell ref="F22:G22"/>
    <mergeCell ref="C31:G31"/>
    <mergeCell ref="C32:G32"/>
    <mergeCell ref="E51:G51"/>
    <mergeCell ref="F87:G87"/>
    <mergeCell ref="C82:G82"/>
    <mergeCell ref="C109:G109"/>
    <mergeCell ref="F64:G64"/>
    <mergeCell ref="E107:G107"/>
    <mergeCell ref="C90:D90"/>
    <mergeCell ref="C83:G84"/>
    <mergeCell ref="C85:G85"/>
    <mergeCell ref="C103:F103"/>
    <mergeCell ref="M194:M195"/>
    <mergeCell ref="F117:G117"/>
    <mergeCell ref="C136:G138"/>
    <mergeCell ref="F158:G158"/>
    <mergeCell ref="D127:G127"/>
    <mergeCell ref="C141:D141"/>
    <mergeCell ref="C139:G139"/>
    <mergeCell ref="D140:G140"/>
    <mergeCell ref="C158:D158"/>
    <mergeCell ref="F148:G148"/>
  </mergeCells>
  <phoneticPr fontId="25" type="noConversion"/>
  <hyperlinks>
    <hyperlink ref="D172" r:id="rId1" xr:uid="{E3114EB6-6DDD-4441-96BC-FF69BE56CFCF}"/>
    <hyperlink ref="G177" r:id="rId2" display="3.15@ filling" xr:uid="{FBAB217D-F055-4396-BEAB-0C9EBBF0617E}"/>
  </hyperlinks>
  <pageMargins left="0.7" right="0.7" top="0.75" bottom="0.75" header="0.3" footer="0.3"/>
  <pageSetup orientation="portrait" r:id="rId3"/>
  <headerFooter>
    <oddFooter>&amp;C&amp;1#&amp;"Calibri"&amp;9&amp;K000000Information Classification: GENERAL</oddFooter>
  </headerFooter>
  <legacyDrawing r:id="rId4"/>
  <extLst>
    <ext xmlns:x14="http://schemas.microsoft.com/office/spreadsheetml/2009/9/main" uri="{05C60535-1F16-4fd2-B633-F4F36F0B64E0}">
      <x14:sparklineGroups xmlns:xm="http://schemas.microsoft.com/office/excel/2006/main">
        <x14:sparklineGroup displayEmptyCellsAs="gap" xr2:uid="{4D9AB7B1-00D3-4D4C-9A2A-B0872266A6FB}">
          <x14:colorSeries rgb="FF323232"/>
          <x14:colorNegative rgb="FFD00000"/>
          <x14:colorAxis rgb="FF000000"/>
          <x14:colorMarkers rgb="FFD00000"/>
          <x14:colorFirst rgb="FFD00000"/>
          <x14:colorLast rgb="FFD00000"/>
          <x14:colorHigh rgb="FFD00000"/>
          <x14:colorLow rgb="FFD00000"/>
          <x14:sparklines>
            <x14:sparkline>
              <xm:f>vacation!J90:J90</xm:f>
              <xm:sqref>J90</xm:sqref>
            </x14:sparkline>
            <x14:sparkline>
              <xm:f>vacation!K90:K90</xm:f>
              <xm:sqref>K90</xm:sqref>
            </x14:sparkline>
            <x14:sparkline>
              <xm:f>vacation!J91:J91</xm:f>
              <xm:sqref>J91</xm:sqref>
            </x14:sparkline>
            <x14:sparkline>
              <xm:f>vacation!K91:K91</xm:f>
              <xm:sqref>K91</xm:sqref>
            </x14:sparkline>
            <x14:sparkline>
              <xm:f>vacation!J92:J92</xm:f>
              <xm:sqref>J92</xm:sqref>
            </x14:sparkline>
            <x14:sparkline>
              <xm:f>vacation!K92:K92</xm:f>
              <xm:sqref>K92</xm:sqref>
            </x14:sparkline>
            <x14:sparkline>
              <xm:f>vacation!J93:J93</xm:f>
              <xm:sqref>J93</xm:sqref>
            </x14:sparkline>
            <x14:sparkline>
              <xm:f>vacation!K93:K93</xm:f>
              <xm:sqref>K93</xm:sqref>
            </x14:sparkline>
            <x14:sparkline>
              <xm:f>vacation!J94:J94</xm:f>
              <xm:sqref>J94</xm:sqref>
            </x14:sparkline>
            <x14:sparkline>
              <xm:f>vacation!K94:K94</xm:f>
              <xm:sqref>K94</xm:sqref>
            </x14:sparkline>
            <x14:sparkline>
              <xm:f>vacation!J95:J95</xm:f>
              <xm:sqref>J95</xm:sqref>
            </x14:sparkline>
            <x14:sparkline>
              <xm:f>vacation!K95:K95</xm:f>
              <xm:sqref>K95</xm:sqref>
            </x14:sparkline>
            <x14:sparkline>
              <xm:f>vacation!J96:J96</xm:f>
              <xm:sqref>J96</xm:sqref>
            </x14:sparkline>
            <x14:sparkline>
              <xm:f>vacation!K96:K96</xm:f>
              <xm:sqref>K96</xm:sqref>
            </x14:sparkline>
            <x14:sparkline>
              <xm:f>vacation!J97:J97</xm:f>
              <xm:sqref>J97</xm:sqref>
            </x14:sparkline>
            <x14:sparkline>
              <xm:f>vacation!K97:K97</xm:f>
              <xm:sqref>K97</xm:sqref>
            </x14:sparkline>
            <x14:sparkline>
              <xm:f>vacation!J98:J98</xm:f>
              <xm:sqref>J98</xm:sqref>
            </x14:sparkline>
            <x14:sparkline>
              <xm:f>vacation!K98:K98</xm:f>
              <xm:sqref>K98</xm:sqref>
            </x14:sparkline>
            <x14:sparkline>
              <xm:f>vacation!J99:J99</xm:f>
              <xm:sqref>J99</xm:sqref>
            </x14:sparkline>
            <x14:sparkline>
              <xm:f>vacation!K99:K99</xm:f>
              <xm:sqref>K99</xm:sqref>
            </x14:sparkline>
            <x14:sparkline>
              <xm:f>vacation!J100:J100</xm:f>
              <xm:sqref>J100</xm:sqref>
            </x14:sparkline>
            <x14:sparkline>
              <xm:f>vacation!K100:K100</xm:f>
              <xm:sqref>K100</xm:sqref>
            </x14:sparkline>
            <x14:sparkline>
              <xm:f>vacation!J101:J101</xm:f>
              <xm:sqref>J101</xm:sqref>
            </x14:sparkline>
            <x14:sparkline>
              <xm:f>vacation!K101:K101</xm:f>
              <xm:sqref>K101</xm:sqref>
            </x14:sparkline>
            <x14:sparkline>
              <xm:f>vacation!J102:J102</xm:f>
              <xm:sqref>J102</xm:sqref>
            </x14:sparkline>
            <x14:sparkline>
              <xm:f>vacation!K102:K102</xm:f>
              <xm:sqref>K102</xm:sqref>
            </x14:sparkline>
            <x14:sparkline>
              <xm:f>vacation!J103:J103</xm:f>
              <xm:sqref>J103</xm:sqref>
            </x14:sparkline>
            <x14:sparkline>
              <xm:f>vacation!K103:K103</xm:f>
              <xm:sqref>K103</xm:sqref>
            </x14:sparkline>
            <x14:sparkline>
              <xm:f>vacation!J104:J104</xm:f>
              <xm:sqref>J104</xm:sqref>
            </x14:sparkline>
            <x14:sparkline>
              <xm:f>vacation!K104:K104</xm:f>
              <xm:sqref>K104</xm:sqref>
            </x14:sparkline>
            <x14:sparkline>
              <xm:f>vacation!J105:J105</xm:f>
              <xm:sqref>J105</xm:sqref>
            </x14:sparkline>
            <x14:sparkline>
              <xm:f>vacation!K105:K105</xm:f>
              <xm:sqref>K105</xm:sqref>
            </x14:sparkline>
            <x14:sparkline>
              <xm:f>vacation!J106:J106</xm:f>
              <xm:sqref>J106</xm:sqref>
            </x14:sparkline>
            <x14:sparkline>
              <xm:f>vacation!K106:K106</xm:f>
              <xm:sqref>K106</xm:sqref>
            </x14:sparkline>
            <x14:sparkline>
              <xm:f>vacation!J107:J107</xm:f>
              <xm:sqref>J107</xm:sqref>
            </x14:sparkline>
            <x14:sparkline>
              <xm:f>vacation!K107:K107</xm:f>
              <xm:sqref>K107</xm:sqref>
            </x14:sparkline>
            <x14:sparkline>
              <xm:f>vacation!J108:J108</xm:f>
              <xm:sqref>J108</xm:sqref>
            </x14:sparkline>
            <x14:sparkline>
              <xm:f>vacation!K108:K108</xm:f>
              <xm:sqref>K108</xm:sqref>
            </x14:sparkline>
            <x14:sparkline>
              <xm:f>vacation!J109:J109</xm:f>
              <xm:sqref>J109</xm:sqref>
            </x14:sparkline>
            <x14:sparkline>
              <xm:f>vacation!K109:K109</xm:f>
              <xm:sqref>K109</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B890C-4006-4FF4-8E29-D347B560BCE4}">
  <dimension ref="A1:U60"/>
  <sheetViews>
    <sheetView zoomScale="99" zoomScaleNormal="99" workbookViewId="0">
      <selection activeCell="I28" sqref="I28"/>
    </sheetView>
  </sheetViews>
  <sheetFormatPr defaultRowHeight="14.4"/>
  <cols>
    <col min="1" max="1" width="10" bestFit="1" customWidth="1"/>
    <col min="2" max="5" width="11" bestFit="1" customWidth="1"/>
    <col min="6" max="6" width="11.33203125" customWidth="1"/>
    <col min="7" max="8" width="11.109375" customWidth="1"/>
    <col min="9" max="9" width="46.88671875" customWidth="1"/>
    <col min="10" max="10" width="5.6640625" customWidth="1"/>
    <col min="11" max="11" width="16" bestFit="1" customWidth="1"/>
    <col min="12" max="12" width="11" bestFit="1" customWidth="1"/>
    <col min="13" max="13" width="10.6640625" customWidth="1"/>
    <col min="14" max="14" width="13.88671875" bestFit="1" customWidth="1"/>
    <col min="15" max="15" width="19.88671875" bestFit="1" customWidth="1"/>
    <col min="16" max="16" width="23.88671875" customWidth="1"/>
    <col min="17" max="18" width="13.109375" customWidth="1"/>
    <col min="19" max="19" width="14.5546875" bestFit="1" customWidth="1"/>
    <col min="20" max="20" width="4.33203125" bestFit="1" customWidth="1"/>
    <col min="21" max="21" width="6.5546875" bestFit="1" customWidth="1"/>
  </cols>
  <sheetData>
    <row r="1" spans="1:19">
      <c r="A1" s="40" t="s">
        <v>376</v>
      </c>
      <c r="B1" s="57">
        <v>45915</v>
      </c>
      <c r="C1" s="21">
        <v>45637</v>
      </c>
      <c r="D1" s="71" t="s">
        <v>377</v>
      </c>
      <c r="E1" s="21">
        <v>45908</v>
      </c>
      <c r="G1" s="59" t="s">
        <v>378</v>
      </c>
      <c r="H1" s="21">
        <f>B1+16*7</f>
        <v>46027</v>
      </c>
      <c r="K1" s="40" t="s">
        <v>379</v>
      </c>
      <c r="L1" t="s">
        <v>380</v>
      </c>
      <c r="M1" s="40">
        <v>31368072</v>
      </c>
      <c r="N1" s="40" t="s">
        <v>381</v>
      </c>
      <c r="O1" s="40" t="s">
        <v>382</v>
      </c>
      <c r="P1" s="40" t="s">
        <v>383</v>
      </c>
      <c r="Q1" s="40" t="s">
        <v>384</v>
      </c>
      <c r="R1" s="40" t="s">
        <v>1139</v>
      </c>
      <c r="S1" s="40" t="s">
        <v>385</v>
      </c>
    </row>
    <row r="2" spans="1:19">
      <c r="A2" s="40"/>
      <c r="B2" s="40">
        <f>IF(WEEKDAY(B3)=1,"SUN",WEEKDAY(B3)-1)</f>
        <v>2</v>
      </c>
      <c r="C2" s="21"/>
      <c r="D2" s="71" t="s">
        <v>386</v>
      </c>
      <c r="E2" s="21">
        <v>46174</v>
      </c>
      <c r="G2" s="59" t="s">
        <v>387</v>
      </c>
      <c r="H2" s="21">
        <f>B1+180</f>
        <v>46095</v>
      </c>
      <c r="K2" s="71"/>
      <c r="L2" t="s">
        <v>388</v>
      </c>
      <c r="M2">
        <v>7189548548</v>
      </c>
      <c r="N2" t="s">
        <v>389</v>
      </c>
      <c r="O2" t="s">
        <v>390</v>
      </c>
      <c r="P2" t="s">
        <v>391</v>
      </c>
      <c r="Q2" t="s">
        <v>392</v>
      </c>
    </row>
    <row r="3" spans="1:19">
      <c r="A3" s="40" t="s">
        <v>393</v>
      </c>
      <c r="B3" s="21">
        <f>C3-1</f>
        <v>45636</v>
      </c>
      <c r="C3" s="21">
        <f>C1</f>
        <v>45637</v>
      </c>
      <c r="D3" s="21">
        <f t="shared" ref="D3:F22" si="0">C3+1</f>
        <v>45638</v>
      </c>
      <c r="E3" s="21">
        <f t="shared" si="0"/>
        <v>45639</v>
      </c>
      <c r="F3" s="21">
        <f t="shared" si="0"/>
        <v>45640</v>
      </c>
      <c r="G3" s="21">
        <f t="shared" ref="G3:G22" si="1">F3+1</f>
        <v>45641</v>
      </c>
      <c r="H3" s="58">
        <f t="shared" ref="H3:H42" si="2">G3+1</f>
        <v>45642</v>
      </c>
      <c r="N3" t="s">
        <v>394</v>
      </c>
      <c r="O3" t="s">
        <v>395</v>
      </c>
      <c r="P3" t="s">
        <v>395</v>
      </c>
      <c r="Q3" t="s">
        <v>392</v>
      </c>
    </row>
    <row r="4" spans="1:19">
      <c r="A4" s="40" t="s">
        <v>396</v>
      </c>
      <c r="B4" s="21">
        <f t="shared" ref="B4:B42" si="3">H3+1</f>
        <v>45643</v>
      </c>
      <c r="C4" s="21">
        <f t="shared" ref="C4:C23" si="4">B4+1</f>
        <v>45644</v>
      </c>
      <c r="D4" s="21">
        <f t="shared" si="0"/>
        <v>45645</v>
      </c>
      <c r="E4" s="21">
        <f t="shared" si="0"/>
        <v>45646</v>
      </c>
      <c r="F4" s="21">
        <f t="shared" si="0"/>
        <v>45647</v>
      </c>
      <c r="G4" s="21">
        <f t="shared" si="1"/>
        <v>45648</v>
      </c>
      <c r="H4" s="21">
        <f t="shared" si="2"/>
        <v>45649</v>
      </c>
      <c r="N4" t="s">
        <v>394</v>
      </c>
      <c r="O4" t="s">
        <v>397</v>
      </c>
      <c r="P4" t="s">
        <v>398</v>
      </c>
      <c r="Q4" t="s">
        <v>399</v>
      </c>
    </row>
    <row r="5" spans="1:19">
      <c r="A5" s="40" t="s">
        <v>400</v>
      </c>
      <c r="B5" s="21">
        <f t="shared" si="3"/>
        <v>45650</v>
      </c>
      <c r="C5" s="21">
        <f t="shared" si="4"/>
        <v>45651</v>
      </c>
      <c r="D5" s="21">
        <f t="shared" si="0"/>
        <v>45652</v>
      </c>
      <c r="E5" s="21">
        <f t="shared" si="0"/>
        <v>45653</v>
      </c>
      <c r="F5" s="21">
        <f t="shared" si="0"/>
        <v>45654</v>
      </c>
      <c r="G5" s="21">
        <f t="shared" si="1"/>
        <v>45655</v>
      </c>
      <c r="H5" s="21">
        <f t="shared" si="2"/>
        <v>45656</v>
      </c>
      <c r="N5" t="s">
        <v>394</v>
      </c>
      <c r="O5" t="s">
        <v>401</v>
      </c>
      <c r="P5" t="s">
        <v>401</v>
      </c>
      <c r="Q5" t="s">
        <v>392</v>
      </c>
    </row>
    <row r="6" spans="1:19">
      <c r="A6" s="40" t="s">
        <v>402</v>
      </c>
      <c r="B6" s="21">
        <f t="shared" si="3"/>
        <v>45657</v>
      </c>
      <c r="C6" s="21">
        <f t="shared" si="4"/>
        <v>45658</v>
      </c>
      <c r="D6" s="21">
        <f t="shared" si="0"/>
        <v>45659</v>
      </c>
      <c r="E6" s="21">
        <f t="shared" si="0"/>
        <v>45660</v>
      </c>
      <c r="F6" s="21">
        <f t="shared" si="0"/>
        <v>45661</v>
      </c>
      <c r="G6" s="21">
        <f t="shared" si="1"/>
        <v>45662</v>
      </c>
      <c r="H6" s="21">
        <f t="shared" si="2"/>
        <v>45663</v>
      </c>
      <c r="N6" t="s">
        <v>403</v>
      </c>
      <c r="O6" t="s">
        <v>404</v>
      </c>
      <c r="P6" t="s">
        <v>404</v>
      </c>
      <c r="Q6" t="s">
        <v>392</v>
      </c>
    </row>
    <row r="7" spans="1:19">
      <c r="A7" s="149" t="s">
        <v>405</v>
      </c>
      <c r="B7" s="21">
        <f t="shared" si="3"/>
        <v>45664</v>
      </c>
      <c r="C7" s="21">
        <f t="shared" si="4"/>
        <v>45665</v>
      </c>
      <c r="D7" s="21">
        <f t="shared" si="0"/>
        <v>45666</v>
      </c>
      <c r="E7" s="21">
        <f t="shared" si="0"/>
        <v>45667</v>
      </c>
      <c r="F7" s="21">
        <f t="shared" si="0"/>
        <v>45668</v>
      </c>
      <c r="G7" s="21">
        <f t="shared" si="1"/>
        <v>45669</v>
      </c>
      <c r="H7" s="21">
        <f t="shared" si="2"/>
        <v>45670</v>
      </c>
      <c r="N7" t="s">
        <v>407</v>
      </c>
      <c r="O7" t="s">
        <v>408</v>
      </c>
      <c r="P7" t="s">
        <v>409</v>
      </c>
      <c r="Q7" t="s">
        <v>392</v>
      </c>
    </row>
    <row r="8" spans="1:19">
      <c r="A8" s="149" t="s">
        <v>410</v>
      </c>
      <c r="B8" s="21">
        <f t="shared" si="3"/>
        <v>45671</v>
      </c>
      <c r="C8" s="21">
        <f t="shared" si="4"/>
        <v>45672</v>
      </c>
      <c r="D8" s="148">
        <f t="shared" si="0"/>
        <v>45673</v>
      </c>
      <c r="E8" s="21">
        <f t="shared" si="0"/>
        <v>45674</v>
      </c>
      <c r="F8" s="21">
        <f t="shared" si="0"/>
        <v>45675</v>
      </c>
      <c r="G8" s="21">
        <f t="shared" si="1"/>
        <v>45676</v>
      </c>
      <c r="H8" s="21">
        <f t="shared" si="2"/>
        <v>45677</v>
      </c>
      <c r="I8" t="s">
        <v>406</v>
      </c>
      <c r="M8" s="68"/>
      <c r="N8" t="s">
        <v>411</v>
      </c>
      <c r="O8" t="s">
        <v>412</v>
      </c>
      <c r="P8" t="s">
        <v>413</v>
      </c>
      <c r="Q8" t="s">
        <v>392</v>
      </c>
    </row>
    <row r="9" spans="1:19">
      <c r="A9" s="149" t="s">
        <v>414</v>
      </c>
      <c r="B9" s="21">
        <f t="shared" si="3"/>
        <v>45678</v>
      </c>
      <c r="C9" s="21">
        <f t="shared" si="4"/>
        <v>45679</v>
      </c>
      <c r="D9" s="21">
        <f t="shared" si="0"/>
        <v>45680</v>
      </c>
      <c r="E9" s="21">
        <f t="shared" si="0"/>
        <v>45681</v>
      </c>
      <c r="F9" s="21">
        <f t="shared" si="0"/>
        <v>45682</v>
      </c>
      <c r="G9" s="21">
        <f t="shared" si="1"/>
        <v>45683</v>
      </c>
      <c r="H9" s="21">
        <f t="shared" si="2"/>
        <v>45684</v>
      </c>
      <c r="N9" t="s">
        <v>416</v>
      </c>
      <c r="O9" t="s">
        <v>417</v>
      </c>
      <c r="P9" t="s">
        <v>418</v>
      </c>
      <c r="Q9" t="s">
        <v>392</v>
      </c>
    </row>
    <row r="10" spans="1:19">
      <c r="A10" s="149" t="s">
        <v>419</v>
      </c>
      <c r="B10" s="21">
        <f t="shared" si="3"/>
        <v>45685</v>
      </c>
      <c r="C10" s="21">
        <f t="shared" si="4"/>
        <v>45686</v>
      </c>
      <c r="D10" s="148">
        <f t="shared" si="0"/>
        <v>45687</v>
      </c>
      <c r="E10" s="21">
        <f t="shared" si="0"/>
        <v>45688</v>
      </c>
      <c r="F10" s="21">
        <f t="shared" si="0"/>
        <v>45689</v>
      </c>
      <c r="G10" s="21">
        <f t="shared" si="1"/>
        <v>45690</v>
      </c>
      <c r="H10" s="21">
        <f t="shared" si="2"/>
        <v>45691</v>
      </c>
      <c r="I10" t="s">
        <v>415</v>
      </c>
      <c r="N10" t="s">
        <v>421</v>
      </c>
      <c r="O10" t="s">
        <v>421</v>
      </c>
      <c r="P10" t="s">
        <v>422</v>
      </c>
      <c r="Q10" t="s">
        <v>399</v>
      </c>
      <c r="S10" t="s">
        <v>423</v>
      </c>
    </row>
    <row r="11" spans="1:19">
      <c r="A11" s="149" t="s">
        <v>424</v>
      </c>
      <c r="B11" s="21">
        <f t="shared" si="3"/>
        <v>45692</v>
      </c>
      <c r="C11" s="148">
        <f t="shared" si="4"/>
        <v>45693</v>
      </c>
      <c r="D11" s="21">
        <f t="shared" si="0"/>
        <v>45694</v>
      </c>
      <c r="E11" s="21">
        <f t="shared" si="0"/>
        <v>45695</v>
      </c>
      <c r="F11" s="21">
        <f t="shared" si="0"/>
        <v>45696</v>
      </c>
      <c r="G11" s="21">
        <f t="shared" si="1"/>
        <v>45697</v>
      </c>
      <c r="H11" s="21">
        <f t="shared" si="2"/>
        <v>45698</v>
      </c>
      <c r="I11" t="s">
        <v>420</v>
      </c>
      <c r="N11" t="s">
        <v>426</v>
      </c>
      <c r="O11" t="s">
        <v>427</v>
      </c>
      <c r="P11" t="s">
        <v>428</v>
      </c>
      <c r="Q11" t="s">
        <v>392</v>
      </c>
    </row>
    <row r="12" spans="1:19">
      <c r="A12" s="149" t="s">
        <v>429</v>
      </c>
      <c r="B12" s="21">
        <f t="shared" si="3"/>
        <v>45699</v>
      </c>
      <c r="C12" s="21">
        <f t="shared" si="4"/>
        <v>45700</v>
      </c>
      <c r="D12" s="21">
        <f t="shared" si="0"/>
        <v>45701</v>
      </c>
      <c r="E12" s="148">
        <f t="shared" si="0"/>
        <v>45702</v>
      </c>
      <c r="F12" s="21">
        <f t="shared" si="0"/>
        <v>45703</v>
      </c>
      <c r="G12" s="21">
        <f t="shared" si="1"/>
        <v>45704</v>
      </c>
      <c r="H12" s="21">
        <f t="shared" si="2"/>
        <v>45705</v>
      </c>
      <c r="I12" t="s">
        <v>425</v>
      </c>
      <c r="N12" t="s">
        <v>430</v>
      </c>
      <c r="O12" t="s">
        <v>431</v>
      </c>
      <c r="P12" t="s">
        <v>432</v>
      </c>
      <c r="Q12" t="s">
        <v>399</v>
      </c>
    </row>
    <row r="13" spans="1:19">
      <c r="A13" s="149" t="s">
        <v>433</v>
      </c>
      <c r="B13" s="21">
        <f t="shared" si="3"/>
        <v>45706</v>
      </c>
      <c r="C13" s="148">
        <f t="shared" si="4"/>
        <v>45707</v>
      </c>
      <c r="D13" s="21">
        <f t="shared" si="0"/>
        <v>45708</v>
      </c>
      <c r="E13" s="21">
        <f t="shared" si="0"/>
        <v>45709</v>
      </c>
      <c r="F13" s="21">
        <f t="shared" si="0"/>
        <v>45710</v>
      </c>
      <c r="G13" s="21">
        <f t="shared" si="1"/>
        <v>45711</v>
      </c>
      <c r="H13" s="21">
        <f t="shared" si="2"/>
        <v>45712</v>
      </c>
      <c r="I13" t="s">
        <v>1211</v>
      </c>
      <c r="N13" t="s">
        <v>365</v>
      </c>
      <c r="O13" t="s">
        <v>434</v>
      </c>
      <c r="P13" t="s">
        <v>435</v>
      </c>
      <c r="Q13" t="s">
        <v>399</v>
      </c>
      <c r="R13" t="s">
        <v>1141</v>
      </c>
      <c r="S13" t="s">
        <v>436</v>
      </c>
    </row>
    <row r="14" spans="1:19">
      <c r="A14" s="149" t="s">
        <v>437</v>
      </c>
      <c r="B14" s="21">
        <f t="shared" si="3"/>
        <v>45713</v>
      </c>
      <c r="C14" s="21">
        <f t="shared" si="4"/>
        <v>45714</v>
      </c>
      <c r="D14" s="21">
        <f t="shared" si="0"/>
        <v>45715</v>
      </c>
      <c r="E14" s="21">
        <f t="shared" si="0"/>
        <v>45716</v>
      </c>
      <c r="F14" s="21">
        <f t="shared" si="0"/>
        <v>45717</v>
      </c>
      <c r="G14" s="21">
        <f t="shared" si="1"/>
        <v>45718</v>
      </c>
      <c r="H14" s="21">
        <f t="shared" si="2"/>
        <v>45719</v>
      </c>
      <c r="N14" t="s">
        <v>438</v>
      </c>
      <c r="O14" t="s">
        <v>439</v>
      </c>
      <c r="P14" t="s">
        <v>440</v>
      </c>
      <c r="Q14" t="s">
        <v>441</v>
      </c>
      <c r="R14" t="s">
        <v>1141</v>
      </c>
      <c r="S14" t="s">
        <v>1138</v>
      </c>
    </row>
    <row r="15" spans="1:19">
      <c r="A15" s="149" t="s">
        <v>442</v>
      </c>
      <c r="B15" s="21">
        <f t="shared" si="3"/>
        <v>45720</v>
      </c>
      <c r="C15" s="21">
        <f t="shared" si="4"/>
        <v>45721</v>
      </c>
      <c r="D15" s="21">
        <f t="shared" si="0"/>
        <v>45722</v>
      </c>
      <c r="E15" s="148">
        <f t="shared" si="0"/>
        <v>45723</v>
      </c>
      <c r="F15" s="21">
        <f t="shared" si="0"/>
        <v>45724</v>
      </c>
      <c r="G15" s="21">
        <f t="shared" si="1"/>
        <v>45725</v>
      </c>
      <c r="H15" s="21">
        <f t="shared" si="2"/>
        <v>45726</v>
      </c>
      <c r="I15" t="s">
        <v>1159</v>
      </c>
      <c r="N15" t="s">
        <v>443</v>
      </c>
      <c r="O15" t="s">
        <v>444</v>
      </c>
      <c r="P15" t="s">
        <v>445</v>
      </c>
      <c r="Q15" t="s">
        <v>399</v>
      </c>
      <c r="R15" t="s">
        <v>1140</v>
      </c>
      <c r="S15" t="s">
        <v>1137</v>
      </c>
    </row>
    <row r="16" spans="1:19">
      <c r="A16" s="149" t="s">
        <v>446</v>
      </c>
      <c r="B16" s="21">
        <f t="shared" si="3"/>
        <v>45727</v>
      </c>
      <c r="C16" s="21">
        <f t="shared" si="4"/>
        <v>45728</v>
      </c>
      <c r="D16" s="21">
        <f t="shared" si="0"/>
        <v>45729</v>
      </c>
      <c r="E16" s="21">
        <f t="shared" si="0"/>
        <v>45730</v>
      </c>
      <c r="F16" s="21">
        <f t="shared" si="0"/>
        <v>45731</v>
      </c>
      <c r="G16" s="21">
        <f t="shared" si="1"/>
        <v>45732</v>
      </c>
      <c r="H16" s="21">
        <f t="shared" si="2"/>
        <v>45733</v>
      </c>
      <c r="N16" t="s">
        <v>447</v>
      </c>
      <c r="O16" t="s">
        <v>448</v>
      </c>
      <c r="P16" t="s">
        <v>449</v>
      </c>
      <c r="Q16" t="s">
        <v>399</v>
      </c>
    </row>
    <row r="17" spans="1:21">
      <c r="A17" s="149" t="s">
        <v>450</v>
      </c>
      <c r="B17" s="21">
        <f t="shared" si="3"/>
        <v>45734</v>
      </c>
      <c r="C17" s="21">
        <f t="shared" si="4"/>
        <v>45735</v>
      </c>
      <c r="D17" s="21">
        <f t="shared" si="0"/>
        <v>45736</v>
      </c>
      <c r="E17" s="21">
        <f t="shared" si="0"/>
        <v>45737</v>
      </c>
      <c r="F17" s="21">
        <f t="shared" si="0"/>
        <v>45738</v>
      </c>
      <c r="G17" s="21">
        <f t="shared" si="1"/>
        <v>45739</v>
      </c>
      <c r="H17" s="148">
        <f t="shared" si="2"/>
        <v>45740</v>
      </c>
      <c r="I17" t="s">
        <v>1166</v>
      </c>
      <c r="N17" s="247" t="s">
        <v>451</v>
      </c>
      <c r="O17" s="247" t="s">
        <v>452</v>
      </c>
      <c r="P17" t="s">
        <v>453</v>
      </c>
      <c r="Q17" t="s">
        <v>399</v>
      </c>
    </row>
    <row r="18" spans="1:21">
      <c r="A18" s="150" t="s">
        <v>454</v>
      </c>
      <c r="B18" s="21">
        <f t="shared" si="3"/>
        <v>45741</v>
      </c>
      <c r="C18" s="21">
        <f t="shared" si="4"/>
        <v>45742</v>
      </c>
      <c r="D18" s="21">
        <f t="shared" si="0"/>
        <v>45743</v>
      </c>
      <c r="E18" s="21">
        <f t="shared" si="0"/>
        <v>45744</v>
      </c>
      <c r="F18" s="21">
        <f t="shared" si="0"/>
        <v>45745</v>
      </c>
      <c r="G18" s="21">
        <f t="shared" si="1"/>
        <v>45746</v>
      </c>
      <c r="H18" s="21">
        <f t="shared" si="2"/>
        <v>45747</v>
      </c>
      <c r="N18" s="247"/>
      <c r="O18" s="247"/>
      <c r="P18" t="s">
        <v>455</v>
      </c>
      <c r="Q18" t="s">
        <v>399</v>
      </c>
    </row>
    <row r="19" spans="1:21">
      <c r="A19" s="150" t="s">
        <v>456</v>
      </c>
      <c r="B19" s="21">
        <f t="shared" si="3"/>
        <v>45748</v>
      </c>
      <c r="C19" s="21">
        <f t="shared" si="4"/>
        <v>45749</v>
      </c>
      <c r="D19" s="21">
        <f t="shared" si="0"/>
        <v>45750</v>
      </c>
      <c r="E19" s="148">
        <f t="shared" si="0"/>
        <v>45751</v>
      </c>
      <c r="F19" s="21">
        <f t="shared" si="0"/>
        <v>45752</v>
      </c>
      <c r="G19" s="21">
        <f t="shared" si="1"/>
        <v>45753</v>
      </c>
      <c r="H19" s="21">
        <f t="shared" si="2"/>
        <v>45754</v>
      </c>
      <c r="I19" t="s">
        <v>1174</v>
      </c>
      <c r="N19" s="247"/>
      <c r="O19" s="247"/>
      <c r="P19" t="s">
        <v>457</v>
      </c>
      <c r="Q19" t="s">
        <v>399</v>
      </c>
    </row>
    <row r="20" spans="1:21">
      <c r="A20" s="150" t="s">
        <v>458</v>
      </c>
      <c r="B20" s="148">
        <f t="shared" si="3"/>
        <v>45755</v>
      </c>
      <c r="C20" s="21">
        <f t="shared" si="4"/>
        <v>45756</v>
      </c>
      <c r="D20" s="21">
        <f t="shared" si="0"/>
        <v>45757</v>
      </c>
      <c r="E20" s="148">
        <f t="shared" si="0"/>
        <v>45758</v>
      </c>
      <c r="F20" s="21">
        <f t="shared" si="0"/>
        <v>45759</v>
      </c>
      <c r="G20" s="21">
        <f t="shared" si="1"/>
        <v>45760</v>
      </c>
      <c r="H20" s="21">
        <f t="shared" si="2"/>
        <v>45761</v>
      </c>
      <c r="I20" t="s">
        <v>1212</v>
      </c>
      <c r="N20" s="247"/>
      <c r="O20" t="s">
        <v>459</v>
      </c>
      <c r="P20" t="s">
        <v>460</v>
      </c>
      <c r="Q20" t="s">
        <v>441</v>
      </c>
    </row>
    <row r="21" spans="1:21">
      <c r="A21" s="150" t="s">
        <v>461</v>
      </c>
      <c r="B21" s="21">
        <f t="shared" si="3"/>
        <v>45762</v>
      </c>
      <c r="C21" s="21">
        <f t="shared" si="4"/>
        <v>45763</v>
      </c>
      <c r="D21" s="21">
        <f t="shared" si="0"/>
        <v>45764</v>
      </c>
      <c r="E21" s="21">
        <f t="shared" si="0"/>
        <v>45765</v>
      </c>
      <c r="F21" s="21">
        <f t="shared" si="0"/>
        <v>45766</v>
      </c>
      <c r="G21" s="21">
        <f t="shared" si="1"/>
        <v>45767</v>
      </c>
      <c r="H21" s="21">
        <f t="shared" si="2"/>
        <v>45768</v>
      </c>
      <c r="N21" s="247"/>
      <c r="O21" t="s">
        <v>462</v>
      </c>
      <c r="P21" t="s">
        <v>463</v>
      </c>
      <c r="Q21" t="s">
        <v>441</v>
      </c>
    </row>
    <row r="22" spans="1:21">
      <c r="A22" s="150" t="s">
        <v>464</v>
      </c>
      <c r="B22" s="21">
        <f t="shared" si="3"/>
        <v>45769</v>
      </c>
      <c r="C22" s="21">
        <f t="shared" si="4"/>
        <v>45770</v>
      </c>
      <c r="D22" s="21">
        <f t="shared" si="0"/>
        <v>45771</v>
      </c>
      <c r="E22" s="21">
        <f t="shared" si="0"/>
        <v>45772</v>
      </c>
      <c r="F22" s="21">
        <f t="shared" si="0"/>
        <v>45773</v>
      </c>
      <c r="G22" s="21">
        <f t="shared" si="1"/>
        <v>45774</v>
      </c>
      <c r="H22" s="21">
        <f t="shared" si="2"/>
        <v>45775</v>
      </c>
      <c r="N22" s="247"/>
      <c r="O22" t="s">
        <v>465</v>
      </c>
      <c r="P22" t="s">
        <v>466</v>
      </c>
      <c r="Q22" t="s">
        <v>399</v>
      </c>
    </row>
    <row r="23" spans="1:21">
      <c r="A23" s="150" t="s">
        <v>467</v>
      </c>
      <c r="B23" s="148">
        <f t="shared" si="3"/>
        <v>45776</v>
      </c>
      <c r="C23" s="21">
        <f t="shared" si="4"/>
        <v>45777</v>
      </c>
      <c r="D23" s="148">
        <f t="shared" ref="D23:E42" si="5">C23+1</f>
        <v>45778</v>
      </c>
      <c r="E23" s="21">
        <f t="shared" si="5"/>
        <v>45779</v>
      </c>
      <c r="F23" s="21">
        <f t="shared" ref="F23:F42" si="6">E23+1</f>
        <v>45780</v>
      </c>
      <c r="G23" s="21">
        <f t="shared" ref="G23:G42" si="7">F23+1</f>
        <v>45781</v>
      </c>
      <c r="H23" s="21">
        <f t="shared" si="2"/>
        <v>45782</v>
      </c>
      <c r="I23" t="s">
        <v>1210</v>
      </c>
    </row>
    <row r="24" spans="1:21">
      <c r="A24" s="150" t="s">
        <v>468</v>
      </c>
      <c r="B24" s="21">
        <f t="shared" si="3"/>
        <v>45783</v>
      </c>
      <c r="C24" s="21">
        <f t="shared" ref="C24:C42" si="8">B24+1</f>
        <v>45784</v>
      </c>
      <c r="D24" s="21">
        <f t="shared" si="5"/>
        <v>45785</v>
      </c>
      <c r="E24" s="21">
        <f t="shared" si="5"/>
        <v>45786</v>
      </c>
      <c r="F24" s="21">
        <f t="shared" si="6"/>
        <v>45787</v>
      </c>
      <c r="G24" s="182">
        <f t="shared" si="7"/>
        <v>45788</v>
      </c>
      <c r="H24" s="21">
        <f t="shared" si="2"/>
        <v>45789</v>
      </c>
      <c r="N24" t="s">
        <v>394</v>
      </c>
      <c r="O24" t="s">
        <v>469</v>
      </c>
      <c r="P24" t="s">
        <v>470</v>
      </c>
      <c r="Q24" t="s">
        <v>392</v>
      </c>
      <c r="T24" t="s">
        <v>471</v>
      </c>
    </row>
    <row r="25" spans="1:21">
      <c r="A25" s="150" t="s">
        <v>472</v>
      </c>
      <c r="B25" s="21">
        <f t="shared" si="3"/>
        <v>45790</v>
      </c>
      <c r="C25" s="21">
        <f t="shared" si="8"/>
        <v>45791</v>
      </c>
      <c r="D25" s="21">
        <f t="shared" si="5"/>
        <v>45792</v>
      </c>
      <c r="E25" s="21">
        <f t="shared" si="5"/>
        <v>45793</v>
      </c>
      <c r="F25" s="21">
        <f t="shared" si="6"/>
        <v>45794</v>
      </c>
      <c r="G25" s="182">
        <f t="shared" si="7"/>
        <v>45795</v>
      </c>
      <c r="H25" s="21">
        <f t="shared" si="2"/>
        <v>45796</v>
      </c>
      <c r="N25" t="s">
        <v>411</v>
      </c>
      <c r="O25" t="s">
        <v>473</v>
      </c>
      <c r="P25" t="s">
        <v>474</v>
      </c>
      <c r="Q25" t="s">
        <v>392</v>
      </c>
    </row>
    <row r="26" spans="1:21">
      <c r="A26" s="150" t="s">
        <v>475</v>
      </c>
      <c r="B26" s="21">
        <f t="shared" si="3"/>
        <v>45797</v>
      </c>
      <c r="C26" s="21">
        <f t="shared" si="8"/>
        <v>45798</v>
      </c>
      <c r="D26" s="21">
        <f t="shared" si="5"/>
        <v>45799</v>
      </c>
      <c r="E26" s="21">
        <f t="shared" si="5"/>
        <v>45800</v>
      </c>
      <c r="F26" s="21">
        <f t="shared" si="6"/>
        <v>45801</v>
      </c>
      <c r="G26" s="21">
        <f t="shared" si="7"/>
        <v>45802</v>
      </c>
      <c r="H26" s="21">
        <f t="shared" si="2"/>
        <v>45803</v>
      </c>
      <c r="N26" t="s">
        <v>447</v>
      </c>
      <c r="O26" t="s">
        <v>476</v>
      </c>
      <c r="P26" s="42" t="s">
        <v>449</v>
      </c>
      <c r="Q26" t="s">
        <v>441</v>
      </c>
      <c r="T26" t="s">
        <v>471</v>
      </c>
    </row>
    <row r="27" spans="1:21">
      <c r="A27" s="150" t="s">
        <v>477</v>
      </c>
      <c r="B27" s="21">
        <f t="shared" si="3"/>
        <v>45804</v>
      </c>
      <c r="C27" s="21">
        <f t="shared" si="8"/>
        <v>45805</v>
      </c>
      <c r="D27" s="21">
        <f t="shared" si="5"/>
        <v>45806</v>
      </c>
      <c r="E27" s="21">
        <f t="shared" si="5"/>
        <v>45807</v>
      </c>
      <c r="F27" s="21">
        <f t="shared" si="6"/>
        <v>45808</v>
      </c>
      <c r="G27" s="21">
        <f t="shared" si="7"/>
        <v>45809</v>
      </c>
      <c r="H27" s="151">
        <f t="shared" si="2"/>
        <v>45810</v>
      </c>
      <c r="I27" t="s">
        <v>1214</v>
      </c>
      <c r="N27" s="247" t="s">
        <v>451</v>
      </c>
      <c r="O27" s="247" t="s">
        <v>452</v>
      </c>
      <c r="P27" s="42" t="s">
        <v>478</v>
      </c>
      <c r="Q27" t="s">
        <v>441</v>
      </c>
      <c r="T27" t="s">
        <v>479</v>
      </c>
      <c r="U27" s="139">
        <v>1700</v>
      </c>
    </row>
    <row r="28" spans="1:21">
      <c r="A28" s="150" t="s">
        <v>480</v>
      </c>
      <c r="B28" s="21">
        <f t="shared" si="3"/>
        <v>45811</v>
      </c>
      <c r="C28" s="21">
        <f t="shared" si="8"/>
        <v>45812</v>
      </c>
      <c r="D28" s="21">
        <f t="shared" si="5"/>
        <v>45813</v>
      </c>
      <c r="E28" s="21">
        <f t="shared" si="5"/>
        <v>45814</v>
      </c>
      <c r="F28" s="21">
        <f t="shared" si="6"/>
        <v>45815</v>
      </c>
      <c r="G28" s="182">
        <f t="shared" si="7"/>
        <v>45816</v>
      </c>
      <c r="H28" s="21">
        <f t="shared" si="2"/>
        <v>45817</v>
      </c>
      <c r="N28" s="247"/>
      <c r="O28" s="247"/>
      <c r="P28" s="42" t="s">
        <v>481</v>
      </c>
      <c r="Q28" t="s">
        <v>441</v>
      </c>
      <c r="T28" t="s">
        <v>479</v>
      </c>
      <c r="U28" s="139">
        <v>2000</v>
      </c>
    </row>
    <row r="29" spans="1:21">
      <c r="A29" s="150" t="s">
        <v>482</v>
      </c>
      <c r="B29" s="21">
        <f t="shared" si="3"/>
        <v>45818</v>
      </c>
      <c r="C29" s="21">
        <f t="shared" si="8"/>
        <v>45819</v>
      </c>
      <c r="D29" s="21">
        <f t="shared" si="5"/>
        <v>45820</v>
      </c>
      <c r="E29" s="21">
        <f t="shared" si="5"/>
        <v>45821</v>
      </c>
      <c r="F29" s="21">
        <f t="shared" si="6"/>
        <v>45822</v>
      </c>
      <c r="G29" s="21">
        <f t="shared" si="7"/>
        <v>45823</v>
      </c>
      <c r="H29" s="21">
        <f t="shared" si="2"/>
        <v>45824</v>
      </c>
      <c r="N29" s="247"/>
      <c r="O29" s="247"/>
      <c r="P29" s="42" t="s">
        <v>483</v>
      </c>
      <c r="Q29" t="s">
        <v>441</v>
      </c>
      <c r="T29" t="s">
        <v>479</v>
      </c>
      <c r="U29" s="139">
        <v>1500</v>
      </c>
    </row>
    <row r="30" spans="1:21">
      <c r="A30" s="150" t="s">
        <v>484</v>
      </c>
      <c r="B30" s="21">
        <f t="shared" si="3"/>
        <v>45825</v>
      </c>
      <c r="C30" s="21">
        <f t="shared" si="8"/>
        <v>45826</v>
      </c>
      <c r="D30" s="151">
        <f t="shared" si="5"/>
        <v>45827</v>
      </c>
      <c r="E30" s="21">
        <f t="shared" si="5"/>
        <v>45828</v>
      </c>
      <c r="F30" s="21">
        <f t="shared" si="6"/>
        <v>45829</v>
      </c>
      <c r="G30" s="21">
        <f t="shared" si="7"/>
        <v>45830</v>
      </c>
      <c r="H30" s="21">
        <f t="shared" si="2"/>
        <v>45831</v>
      </c>
      <c r="I30" t="s">
        <v>1191</v>
      </c>
      <c r="N30" s="247"/>
      <c r="O30" s="247"/>
      <c r="P30" s="42" t="s">
        <v>485</v>
      </c>
      <c r="Q30" t="s">
        <v>441</v>
      </c>
      <c r="T30" t="s">
        <v>471</v>
      </c>
    </row>
    <row r="31" spans="1:21">
      <c r="A31" s="150" t="s">
        <v>486</v>
      </c>
      <c r="B31" s="21">
        <f t="shared" si="3"/>
        <v>45832</v>
      </c>
      <c r="C31" s="21">
        <f t="shared" si="8"/>
        <v>45833</v>
      </c>
      <c r="D31" s="21">
        <f t="shared" si="5"/>
        <v>45834</v>
      </c>
      <c r="E31" s="151">
        <f t="shared" si="5"/>
        <v>45835</v>
      </c>
      <c r="F31" s="21">
        <f t="shared" si="6"/>
        <v>45836</v>
      </c>
      <c r="G31" s="21">
        <f t="shared" si="7"/>
        <v>45837</v>
      </c>
      <c r="H31" s="21">
        <f t="shared" si="2"/>
        <v>45838</v>
      </c>
      <c r="I31" t="s">
        <v>1206</v>
      </c>
      <c r="N31" s="247"/>
      <c r="O31" s="247"/>
      <c r="P31" t="s">
        <v>487</v>
      </c>
      <c r="Q31" t="s">
        <v>441</v>
      </c>
      <c r="T31" t="s">
        <v>479</v>
      </c>
      <c r="U31" s="139">
        <v>1850</v>
      </c>
    </row>
    <row r="32" spans="1:21">
      <c r="A32" s="149" t="s">
        <v>488</v>
      </c>
      <c r="B32" s="21">
        <f t="shared" si="3"/>
        <v>45839</v>
      </c>
      <c r="C32" s="21">
        <f t="shared" si="8"/>
        <v>45840</v>
      </c>
      <c r="D32" s="21">
        <f t="shared" si="5"/>
        <v>45841</v>
      </c>
      <c r="E32" s="21">
        <f t="shared" si="5"/>
        <v>45842</v>
      </c>
      <c r="F32" s="21">
        <f t="shared" si="6"/>
        <v>45843</v>
      </c>
      <c r="G32" s="21">
        <f t="shared" si="7"/>
        <v>45844</v>
      </c>
      <c r="H32" s="21">
        <f t="shared" si="2"/>
        <v>45845</v>
      </c>
      <c r="O32" s="247"/>
      <c r="P32" t="s">
        <v>489</v>
      </c>
      <c r="Q32" t="s">
        <v>441</v>
      </c>
      <c r="T32" t="s">
        <v>479</v>
      </c>
      <c r="U32" s="139">
        <v>2400</v>
      </c>
    </row>
    <row r="33" spans="1:21">
      <c r="A33" s="149" t="s">
        <v>490</v>
      </c>
      <c r="B33" s="21">
        <f t="shared" si="3"/>
        <v>45846</v>
      </c>
      <c r="C33" s="21">
        <f t="shared" si="8"/>
        <v>45847</v>
      </c>
      <c r="D33" s="21">
        <f t="shared" si="5"/>
        <v>45848</v>
      </c>
      <c r="E33" s="21">
        <f t="shared" si="5"/>
        <v>45849</v>
      </c>
      <c r="F33" s="21">
        <f t="shared" si="6"/>
        <v>45850</v>
      </c>
      <c r="G33" s="21">
        <f t="shared" si="7"/>
        <v>45851</v>
      </c>
      <c r="H33" s="21">
        <f t="shared" si="2"/>
        <v>45852</v>
      </c>
      <c r="O33" s="247"/>
      <c r="P33" t="s">
        <v>491</v>
      </c>
      <c r="Q33" t="s">
        <v>441</v>
      </c>
      <c r="T33" t="s">
        <v>479</v>
      </c>
      <c r="U33" s="139">
        <v>2500</v>
      </c>
    </row>
    <row r="34" spans="1:21">
      <c r="A34" s="149" t="s">
        <v>492</v>
      </c>
      <c r="B34" s="21">
        <f t="shared" si="3"/>
        <v>45853</v>
      </c>
      <c r="C34" s="21">
        <f t="shared" si="8"/>
        <v>45854</v>
      </c>
      <c r="D34" s="21">
        <f t="shared" si="5"/>
        <v>45855</v>
      </c>
      <c r="E34" s="21">
        <f t="shared" si="5"/>
        <v>45856</v>
      </c>
      <c r="F34" s="21">
        <f t="shared" si="6"/>
        <v>45857</v>
      </c>
      <c r="G34" s="21">
        <f t="shared" si="7"/>
        <v>45858</v>
      </c>
      <c r="H34" s="21">
        <f t="shared" si="2"/>
        <v>45859</v>
      </c>
      <c r="O34" s="247"/>
      <c r="P34" t="s">
        <v>493</v>
      </c>
      <c r="Q34" t="s">
        <v>441</v>
      </c>
      <c r="T34" t="s">
        <v>479</v>
      </c>
    </row>
    <row r="35" spans="1:21">
      <c r="A35" s="149" t="s">
        <v>494</v>
      </c>
      <c r="B35" s="21">
        <f t="shared" si="3"/>
        <v>45860</v>
      </c>
      <c r="C35" s="21">
        <f t="shared" si="8"/>
        <v>45861</v>
      </c>
      <c r="D35" s="21">
        <f t="shared" si="5"/>
        <v>45862</v>
      </c>
      <c r="E35" s="151">
        <f t="shared" si="5"/>
        <v>45863</v>
      </c>
      <c r="F35" s="21">
        <f t="shared" si="6"/>
        <v>45864</v>
      </c>
      <c r="G35" s="21">
        <f t="shared" si="7"/>
        <v>45865</v>
      </c>
      <c r="H35" s="21">
        <f t="shared" si="2"/>
        <v>45866</v>
      </c>
      <c r="I35" t="s">
        <v>1207</v>
      </c>
      <c r="O35" t="s">
        <v>465</v>
      </c>
      <c r="P35" t="s">
        <v>495</v>
      </c>
      <c r="Q35" t="s">
        <v>441</v>
      </c>
      <c r="T35" t="s">
        <v>479</v>
      </c>
    </row>
    <row r="36" spans="1:21">
      <c r="A36" s="149" t="s">
        <v>496</v>
      </c>
      <c r="B36" s="21">
        <f t="shared" si="3"/>
        <v>45867</v>
      </c>
      <c r="C36" s="21">
        <f t="shared" si="8"/>
        <v>45868</v>
      </c>
      <c r="D36" s="21">
        <f t="shared" si="5"/>
        <v>45869</v>
      </c>
      <c r="E36" s="21">
        <f t="shared" si="5"/>
        <v>45870</v>
      </c>
      <c r="F36" s="21">
        <f t="shared" si="6"/>
        <v>45871</v>
      </c>
      <c r="G36" s="21">
        <f t="shared" si="7"/>
        <v>45872</v>
      </c>
      <c r="H36" s="21">
        <f t="shared" si="2"/>
        <v>45873</v>
      </c>
    </row>
    <row r="37" spans="1:21">
      <c r="A37" s="149" t="s">
        <v>500</v>
      </c>
      <c r="B37" s="21">
        <f t="shared" si="3"/>
        <v>45874</v>
      </c>
      <c r="C37" s="21">
        <f t="shared" si="8"/>
        <v>45875</v>
      </c>
      <c r="D37" s="21">
        <f t="shared" si="5"/>
        <v>45876</v>
      </c>
      <c r="E37" s="151">
        <f t="shared" si="5"/>
        <v>45877</v>
      </c>
      <c r="F37" s="21">
        <f t="shared" si="6"/>
        <v>45878</v>
      </c>
      <c r="G37" s="21">
        <f t="shared" si="7"/>
        <v>45879</v>
      </c>
      <c r="H37" s="21">
        <f t="shared" si="2"/>
        <v>45880</v>
      </c>
      <c r="I37" t="s">
        <v>497</v>
      </c>
      <c r="N37" t="s">
        <v>498</v>
      </c>
      <c r="O37" t="s">
        <v>499</v>
      </c>
      <c r="P37" t="s">
        <v>1205</v>
      </c>
    </row>
    <row r="38" spans="1:21">
      <c r="A38" s="149" t="s">
        <v>502</v>
      </c>
      <c r="B38" s="21">
        <f t="shared" si="3"/>
        <v>45881</v>
      </c>
      <c r="C38" s="21">
        <f t="shared" si="8"/>
        <v>45882</v>
      </c>
      <c r="D38" s="21">
        <f t="shared" si="5"/>
        <v>45883</v>
      </c>
      <c r="E38" s="21">
        <f t="shared" si="5"/>
        <v>45884</v>
      </c>
      <c r="F38" s="21">
        <f t="shared" si="6"/>
        <v>45885</v>
      </c>
      <c r="G38" s="21">
        <f t="shared" si="7"/>
        <v>45886</v>
      </c>
      <c r="H38" s="21">
        <f t="shared" si="2"/>
        <v>45887</v>
      </c>
      <c r="I38" t="s">
        <v>1170</v>
      </c>
      <c r="N38" t="s">
        <v>501</v>
      </c>
      <c r="O38" s="123">
        <v>46053</v>
      </c>
    </row>
    <row r="39" spans="1:21">
      <c r="A39" s="149" t="s">
        <v>503</v>
      </c>
      <c r="B39" s="21">
        <f t="shared" si="3"/>
        <v>45888</v>
      </c>
      <c r="C39" s="21">
        <f t="shared" si="8"/>
        <v>45889</v>
      </c>
      <c r="D39" s="21">
        <f t="shared" si="5"/>
        <v>45890</v>
      </c>
      <c r="E39" s="151">
        <f t="shared" si="5"/>
        <v>45891</v>
      </c>
      <c r="F39" s="21">
        <f t="shared" si="6"/>
        <v>45892</v>
      </c>
      <c r="G39" s="21">
        <f t="shared" si="7"/>
        <v>45893</v>
      </c>
      <c r="H39" s="21">
        <f t="shared" si="2"/>
        <v>45894</v>
      </c>
      <c r="I39" t="s">
        <v>1208</v>
      </c>
    </row>
    <row r="40" spans="1:21">
      <c r="A40" s="149" t="s">
        <v>504</v>
      </c>
      <c r="B40" s="21">
        <f t="shared" si="3"/>
        <v>45895</v>
      </c>
      <c r="C40" s="21">
        <f t="shared" si="8"/>
        <v>45896</v>
      </c>
      <c r="D40" s="21">
        <f t="shared" si="5"/>
        <v>45897</v>
      </c>
      <c r="E40" s="21">
        <f t="shared" si="5"/>
        <v>45898</v>
      </c>
      <c r="F40" s="21">
        <f t="shared" si="6"/>
        <v>45899</v>
      </c>
      <c r="G40" s="21">
        <f t="shared" si="7"/>
        <v>45900</v>
      </c>
      <c r="H40" s="21">
        <f t="shared" si="2"/>
        <v>45901</v>
      </c>
      <c r="N40" t="s">
        <v>505</v>
      </c>
      <c r="O40" t="s">
        <v>506</v>
      </c>
      <c r="P40" s="21" t="s">
        <v>507</v>
      </c>
      <c r="Q40" t="s">
        <v>508</v>
      </c>
    </row>
    <row r="41" spans="1:21">
      <c r="A41" s="149" t="s">
        <v>509</v>
      </c>
      <c r="B41" s="21">
        <f t="shared" si="3"/>
        <v>45902</v>
      </c>
      <c r="C41" s="21">
        <f t="shared" si="8"/>
        <v>45903</v>
      </c>
      <c r="D41" s="21">
        <f t="shared" si="5"/>
        <v>45904</v>
      </c>
      <c r="E41" s="21">
        <f t="shared" si="5"/>
        <v>45905</v>
      </c>
      <c r="F41" s="21">
        <f t="shared" si="6"/>
        <v>45906</v>
      </c>
      <c r="G41" s="21">
        <f t="shared" si="7"/>
        <v>45907</v>
      </c>
      <c r="H41" s="193">
        <f t="shared" si="2"/>
        <v>45908</v>
      </c>
      <c r="I41" t="s">
        <v>785</v>
      </c>
      <c r="M41" s="21"/>
      <c r="N41" s="21">
        <v>45637</v>
      </c>
      <c r="O41" t="s">
        <v>510</v>
      </c>
      <c r="P41" s="122" t="s">
        <v>511</v>
      </c>
      <c r="Q41" t="s">
        <v>512</v>
      </c>
    </row>
    <row r="42" spans="1:21">
      <c r="A42" s="149" t="s">
        <v>513</v>
      </c>
      <c r="B42" s="21">
        <f t="shared" si="3"/>
        <v>45909</v>
      </c>
      <c r="C42" s="21">
        <f t="shared" si="8"/>
        <v>45910</v>
      </c>
      <c r="D42" s="21">
        <f t="shared" si="5"/>
        <v>45911</v>
      </c>
      <c r="E42" s="21">
        <f t="shared" si="5"/>
        <v>45912</v>
      </c>
      <c r="F42" s="21">
        <f t="shared" si="6"/>
        <v>45913</v>
      </c>
      <c r="G42" s="21">
        <f t="shared" si="7"/>
        <v>45914</v>
      </c>
      <c r="H42" s="151">
        <f t="shared" si="2"/>
        <v>45915</v>
      </c>
      <c r="I42" t="s">
        <v>1209</v>
      </c>
      <c r="P42" t="s">
        <v>514</v>
      </c>
      <c r="Q42" t="s">
        <v>515</v>
      </c>
    </row>
    <row r="43" spans="1:21">
      <c r="J43" s="21"/>
      <c r="P43" t="s">
        <v>517</v>
      </c>
      <c r="Q43" t="s">
        <v>518</v>
      </c>
    </row>
    <row r="44" spans="1:21">
      <c r="P44" t="s">
        <v>519</v>
      </c>
      <c r="Q44" t="s">
        <v>520</v>
      </c>
    </row>
    <row r="45" spans="1:21">
      <c r="A45" s="180" t="s">
        <v>1123</v>
      </c>
      <c r="B45" t="s">
        <v>1124</v>
      </c>
      <c r="D45" t="s">
        <v>1122</v>
      </c>
    </row>
    <row r="46" spans="1:21">
      <c r="A46" s="180" t="s">
        <v>1125</v>
      </c>
      <c r="D46" t="s">
        <v>1126</v>
      </c>
      <c r="E46" t="s">
        <v>1131</v>
      </c>
    </row>
    <row r="47" spans="1:21">
      <c r="A47" s="180"/>
      <c r="D47" t="s">
        <v>1127</v>
      </c>
      <c r="E47" t="s">
        <v>1130</v>
      </c>
    </row>
    <row r="48" spans="1:21">
      <c r="A48" s="180"/>
      <c r="D48" t="s">
        <v>1128</v>
      </c>
      <c r="E48" t="s">
        <v>1129</v>
      </c>
    </row>
    <row r="49" spans="1:5">
      <c r="A49" t="s">
        <v>521</v>
      </c>
      <c r="B49" t="s">
        <v>522</v>
      </c>
      <c r="D49" t="s">
        <v>523</v>
      </c>
      <c r="E49" t="s">
        <v>1132</v>
      </c>
    </row>
    <row r="50" spans="1:5">
      <c r="A50" t="s">
        <v>524</v>
      </c>
      <c r="D50" t="s">
        <v>525</v>
      </c>
    </row>
    <row r="51" spans="1:5">
      <c r="A51" t="s">
        <v>526</v>
      </c>
      <c r="B51" t="s">
        <v>527</v>
      </c>
      <c r="D51" t="s">
        <v>528</v>
      </c>
    </row>
    <row r="52" spans="1:5">
      <c r="A52" t="s">
        <v>529</v>
      </c>
      <c r="D52" t="s">
        <v>530</v>
      </c>
    </row>
    <row r="53" spans="1:5">
      <c r="A53" t="s">
        <v>531</v>
      </c>
      <c r="D53" t="s">
        <v>532</v>
      </c>
    </row>
    <row r="54" spans="1:5">
      <c r="A54" t="s">
        <v>533</v>
      </c>
      <c r="B54" t="s">
        <v>534</v>
      </c>
    </row>
    <row r="55" spans="1:5">
      <c r="A55" t="s">
        <v>535</v>
      </c>
      <c r="B55" t="s">
        <v>536</v>
      </c>
    </row>
    <row r="56" spans="1:5">
      <c r="C56" t="s">
        <v>537</v>
      </c>
    </row>
    <row r="57" spans="1:5">
      <c r="C57" t="s">
        <v>538</v>
      </c>
    </row>
    <row r="58" spans="1:5">
      <c r="C58" t="s">
        <v>539</v>
      </c>
    </row>
    <row r="59" spans="1:5">
      <c r="A59" t="s">
        <v>540</v>
      </c>
      <c r="B59" t="s">
        <v>541</v>
      </c>
    </row>
    <row r="60" spans="1:5">
      <c r="A60" t="s">
        <v>542</v>
      </c>
      <c r="B60" t="s">
        <v>543</v>
      </c>
    </row>
  </sheetData>
  <mergeCells count="4">
    <mergeCell ref="O17:O19"/>
    <mergeCell ref="N17:N22"/>
    <mergeCell ref="N27:N31"/>
    <mergeCell ref="O27:O34"/>
  </mergeCells>
  <phoneticPr fontId="25" type="noConversion"/>
  <pageMargins left="0.7" right="0.7" top="0.75" bottom="0.75" header="0.3" footer="0.3"/>
  <pageSetup orientation="portrait" r:id="rId1"/>
  <headerFooter>
    <oddFooter>&amp;C&amp;1#&amp;"Calibri"&amp;9&amp;K000000Information Classification: GENERAL</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ECD63-DB64-4969-B79F-10401D398933}">
  <dimension ref="A1:V60"/>
  <sheetViews>
    <sheetView topLeftCell="H1" workbookViewId="0">
      <pane ySplit="1" topLeftCell="A36" activePane="bottomLeft" state="frozen"/>
      <selection pane="bottomLeft" activeCell="M44" sqref="M44"/>
    </sheetView>
  </sheetViews>
  <sheetFormatPr defaultRowHeight="14.4"/>
  <cols>
    <col min="1" max="1" width="7.88671875" customWidth="1"/>
    <col min="2" max="2" width="21.5546875" customWidth="1"/>
    <col min="3" max="3" width="12.44140625" customWidth="1"/>
    <col min="4" max="4" width="15" bestFit="1" customWidth="1"/>
    <col min="5" max="5" width="11.109375" bestFit="1" customWidth="1"/>
    <col min="6" max="6" width="13.44140625" bestFit="1" customWidth="1"/>
    <col min="7" max="7" width="11.44140625" customWidth="1"/>
    <col min="8" max="9" width="13.44140625" customWidth="1"/>
    <col min="11" max="11" width="9.44140625" customWidth="1"/>
    <col min="12" max="12" width="10" customWidth="1"/>
    <col min="13" max="13" width="18.5546875" bestFit="1" customWidth="1"/>
    <col min="14" max="14" width="13" bestFit="1" customWidth="1"/>
    <col min="15" max="15" width="9.5546875" customWidth="1"/>
    <col min="20" max="20" width="15.33203125" customWidth="1"/>
    <col min="21" max="21" width="16" customWidth="1"/>
    <col min="22" max="22" width="15" customWidth="1"/>
  </cols>
  <sheetData>
    <row r="1" spans="1:12" ht="15" thickBot="1">
      <c r="C1" t="s">
        <v>216</v>
      </c>
      <c r="D1" t="s">
        <v>217</v>
      </c>
      <c r="E1" t="s">
        <v>218</v>
      </c>
      <c r="F1" t="s">
        <v>219</v>
      </c>
      <c r="G1" t="s">
        <v>220</v>
      </c>
      <c r="H1" t="s">
        <v>221</v>
      </c>
      <c r="I1" t="s">
        <v>215</v>
      </c>
    </row>
    <row r="2" spans="1:12" hidden="1">
      <c r="A2" s="247" t="s">
        <v>629</v>
      </c>
      <c r="B2" s="98" t="s">
        <v>630</v>
      </c>
      <c r="C2" t="s">
        <v>631</v>
      </c>
      <c r="K2" t="s">
        <v>632</v>
      </c>
      <c r="L2" t="s">
        <v>633</v>
      </c>
    </row>
    <row r="3" spans="1:12" hidden="1">
      <c r="A3" s="247"/>
      <c r="B3" s="29" t="s">
        <v>634</v>
      </c>
      <c r="K3" t="s">
        <v>635</v>
      </c>
      <c r="L3" t="s">
        <v>636</v>
      </c>
    </row>
    <row r="4" spans="1:12" hidden="1">
      <c r="A4" s="247"/>
      <c r="B4" s="29" t="s">
        <v>637</v>
      </c>
      <c r="K4" t="s">
        <v>638</v>
      </c>
      <c r="L4" t="s">
        <v>639</v>
      </c>
    </row>
    <row r="5" spans="1:12" hidden="1">
      <c r="A5" s="247"/>
      <c r="B5" s="29" t="s">
        <v>640</v>
      </c>
    </row>
    <row r="6" spans="1:12" hidden="1">
      <c r="A6" s="247"/>
      <c r="B6" s="29" t="s">
        <v>641</v>
      </c>
    </row>
    <row r="7" spans="1:12" hidden="1">
      <c r="A7" s="247"/>
      <c r="B7" t="s">
        <v>642</v>
      </c>
    </row>
    <row r="8" spans="1:12" hidden="1">
      <c r="A8" s="247"/>
      <c r="B8" s="29" t="s">
        <v>643</v>
      </c>
    </row>
    <row r="9" spans="1:12" hidden="1">
      <c r="A9" s="247"/>
      <c r="B9" s="29" t="s">
        <v>644</v>
      </c>
    </row>
    <row r="10" spans="1:12" hidden="1">
      <c r="A10" s="247"/>
      <c r="B10" s="29" t="s">
        <v>645</v>
      </c>
    </row>
    <row r="11" spans="1:12" hidden="1">
      <c r="A11" s="247"/>
      <c r="B11" t="s">
        <v>646</v>
      </c>
    </row>
    <row r="12" spans="1:12" hidden="1">
      <c r="A12" s="247"/>
      <c r="B12" s="29" t="s">
        <v>647</v>
      </c>
    </row>
    <row r="13" spans="1:12" hidden="1">
      <c r="A13" s="247"/>
      <c r="B13" t="s">
        <v>648</v>
      </c>
    </row>
    <row r="14" spans="1:12" hidden="1">
      <c r="A14" s="247"/>
      <c r="B14" s="29" t="s">
        <v>649</v>
      </c>
    </row>
    <row r="15" spans="1:12" hidden="1">
      <c r="A15" s="247"/>
      <c r="B15" t="s">
        <v>650</v>
      </c>
    </row>
    <row r="16" spans="1:12" hidden="1">
      <c r="A16" s="247"/>
      <c r="B16" s="29" t="s">
        <v>651</v>
      </c>
    </row>
    <row r="17" spans="1:9" hidden="1">
      <c r="A17" s="247"/>
      <c r="B17" t="s">
        <v>652</v>
      </c>
    </row>
    <row r="18" spans="1:9" hidden="1">
      <c r="A18" s="247"/>
      <c r="B18" t="s">
        <v>653</v>
      </c>
      <c r="C18" t="s">
        <v>654</v>
      </c>
    </row>
    <row r="19" spans="1:9" hidden="1">
      <c r="A19" s="247"/>
      <c r="B19" s="29" t="s">
        <v>655</v>
      </c>
    </row>
    <row r="20" spans="1:9" hidden="1">
      <c r="A20" s="247"/>
      <c r="B20" t="s">
        <v>656</v>
      </c>
    </row>
    <row r="21" spans="1:9" hidden="1">
      <c r="A21" s="247"/>
      <c r="B21" s="97" t="s">
        <v>657</v>
      </c>
      <c r="C21" t="s">
        <v>658</v>
      </c>
      <c r="D21" t="s">
        <v>658</v>
      </c>
      <c r="F21" t="s">
        <v>658</v>
      </c>
      <c r="H21" t="s">
        <v>659</v>
      </c>
      <c r="I21" t="s">
        <v>659</v>
      </c>
    </row>
    <row r="22" spans="1:9" hidden="1">
      <c r="A22" s="247"/>
      <c r="B22" s="97" t="s">
        <v>660</v>
      </c>
      <c r="F22" t="s">
        <v>661</v>
      </c>
      <c r="G22" t="s">
        <v>661</v>
      </c>
    </row>
    <row r="23" spans="1:9" hidden="1">
      <c r="A23" s="247"/>
      <c r="B23" s="97" t="s">
        <v>662</v>
      </c>
      <c r="F23" t="s">
        <v>663</v>
      </c>
    </row>
    <row r="24" spans="1:9" hidden="1">
      <c r="A24" s="247"/>
      <c r="B24" s="97" t="s">
        <v>664</v>
      </c>
    </row>
    <row r="25" spans="1:9" hidden="1">
      <c r="A25" s="247"/>
      <c r="B25" s="97" t="s">
        <v>665</v>
      </c>
    </row>
    <row r="26" spans="1:9" hidden="1">
      <c r="A26" s="247"/>
      <c r="B26" s="40" t="s">
        <v>666</v>
      </c>
    </row>
    <row r="27" spans="1:9" hidden="1">
      <c r="A27" s="247"/>
      <c r="B27" s="97" t="s">
        <v>667</v>
      </c>
      <c r="G27" t="s">
        <v>661</v>
      </c>
    </row>
    <row r="28" spans="1:9" hidden="1">
      <c r="A28" s="247"/>
      <c r="B28" s="97" t="s">
        <v>668</v>
      </c>
      <c r="H28" t="s">
        <v>669</v>
      </c>
    </row>
    <row r="29" spans="1:9" hidden="1">
      <c r="A29" s="247"/>
      <c r="B29" s="97" t="s">
        <v>670</v>
      </c>
      <c r="H29" t="s">
        <v>659</v>
      </c>
    </row>
    <row r="30" spans="1:9" hidden="1">
      <c r="A30" s="247"/>
      <c r="B30" s="40" t="s">
        <v>671</v>
      </c>
      <c r="I30" t="s">
        <v>659</v>
      </c>
    </row>
    <row r="31" spans="1:9" ht="40.950000000000003" hidden="1" customHeight="1">
      <c r="A31" s="247"/>
      <c r="B31" s="97" t="s">
        <v>672</v>
      </c>
      <c r="H31" s="65" t="s">
        <v>673</v>
      </c>
      <c r="I31" s="65" t="s">
        <v>673</v>
      </c>
    </row>
    <row r="32" spans="1:9" hidden="1">
      <c r="A32" s="247"/>
      <c r="B32" s="40" t="s">
        <v>674</v>
      </c>
      <c r="H32" t="s">
        <v>675</v>
      </c>
      <c r="I32" t="s">
        <v>675</v>
      </c>
    </row>
    <row r="33" spans="1:22" hidden="1">
      <c r="A33" s="247"/>
      <c r="B33" s="97" t="s">
        <v>676</v>
      </c>
      <c r="I33" t="s">
        <v>677</v>
      </c>
    </row>
    <row r="34" spans="1:22" hidden="1">
      <c r="A34" s="247"/>
      <c r="B34" s="40" t="s">
        <v>678</v>
      </c>
      <c r="H34" t="s">
        <v>658</v>
      </c>
      <c r="I34" t="s">
        <v>658</v>
      </c>
    </row>
    <row r="35" spans="1:22" ht="15" hidden="1" thickBot="1">
      <c r="B35" s="40"/>
    </row>
    <row r="36" spans="1:22">
      <c r="A36" s="248" t="s">
        <v>679</v>
      </c>
      <c r="B36" s="111" t="s">
        <v>662</v>
      </c>
      <c r="C36" s="112"/>
      <c r="D36" s="112"/>
      <c r="E36" s="112"/>
      <c r="F36" s="112"/>
      <c r="G36" s="112"/>
      <c r="H36" s="112"/>
      <c r="I36" s="113"/>
      <c r="K36" s="27" t="s">
        <v>680</v>
      </c>
      <c r="L36" t="s">
        <v>681</v>
      </c>
      <c r="M36" t="s">
        <v>682</v>
      </c>
      <c r="N36" s="27" t="s">
        <v>683</v>
      </c>
      <c r="O36" t="s">
        <v>684</v>
      </c>
    </row>
    <row r="37" spans="1:22">
      <c r="A37" s="249"/>
      <c r="B37" s="114" t="s">
        <v>685</v>
      </c>
      <c r="I37" s="115"/>
      <c r="K37" t="s">
        <v>686</v>
      </c>
      <c r="L37" t="s">
        <v>687</v>
      </c>
      <c r="M37" t="s">
        <v>688</v>
      </c>
      <c r="N37" t="s">
        <v>689</v>
      </c>
      <c r="O37" t="s">
        <v>690</v>
      </c>
    </row>
    <row r="38" spans="1:22">
      <c r="A38" s="249"/>
      <c r="B38" s="114" t="s">
        <v>691</v>
      </c>
      <c r="I38" s="115"/>
      <c r="K38" t="s">
        <v>692</v>
      </c>
      <c r="L38" t="s">
        <v>693</v>
      </c>
      <c r="M38" t="s">
        <v>694</v>
      </c>
      <c r="N38" t="s">
        <v>695</v>
      </c>
      <c r="O38" t="s">
        <v>696</v>
      </c>
    </row>
    <row r="39" spans="1:22">
      <c r="A39" s="249"/>
      <c r="B39" s="114" t="s">
        <v>697</v>
      </c>
      <c r="G39" t="s">
        <v>698</v>
      </c>
      <c r="I39" s="115"/>
    </row>
    <row r="40" spans="1:22">
      <c r="A40" s="249"/>
      <c r="B40" s="114" t="s">
        <v>699</v>
      </c>
      <c r="G40" t="s">
        <v>700</v>
      </c>
      <c r="I40" s="115"/>
      <c r="L40" s="40" t="s">
        <v>216</v>
      </c>
      <c r="M40" s="40" t="s">
        <v>217</v>
      </c>
      <c r="N40" s="40" t="s">
        <v>218</v>
      </c>
      <c r="O40" s="40" t="s">
        <v>219</v>
      </c>
      <c r="P40" s="40" t="s">
        <v>220</v>
      </c>
      <c r="Q40" s="40" t="s">
        <v>221</v>
      </c>
      <c r="R40" s="40" t="s">
        <v>215</v>
      </c>
    </row>
    <row r="41" spans="1:22">
      <c r="A41" s="249"/>
      <c r="B41" s="114" t="s">
        <v>701</v>
      </c>
      <c r="I41" s="115"/>
      <c r="K41" s="120" t="s">
        <v>1226</v>
      </c>
      <c r="L41" t="s">
        <v>1222</v>
      </c>
      <c r="M41" t="s">
        <v>1224</v>
      </c>
      <c r="O41" s="65" t="s">
        <v>702</v>
      </c>
      <c r="Q41" t="s">
        <v>1223</v>
      </c>
      <c r="T41" t="s">
        <v>1195</v>
      </c>
      <c r="U41" t="s">
        <v>1196</v>
      </c>
      <c r="V41" t="s">
        <v>726</v>
      </c>
    </row>
    <row r="42" spans="1:22">
      <c r="A42" s="249"/>
      <c r="B42" s="114" t="s">
        <v>703</v>
      </c>
      <c r="C42" t="s">
        <v>704</v>
      </c>
      <c r="D42" t="s">
        <v>705</v>
      </c>
      <c r="E42" t="s">
        <v>706</v>
      </c>
      <c r="F42" t="s">
        <v>707</v>
      </c>
      <c r="I42" s="115"/>
      <c r="K42" s="40" t="s">
        <v>1225</v>
      </c>
      <c r="T42" s="31" t="s">
        <v>1220</v>
      </c>
      <c r="U42" s="31" t="s">
        <v>1220</v>
      </c>
      <c r="V42" s="31" t="s">
        <v>1197</v>
      </c>
    </row>
    <row r="43" spans="1:22">
      <c r="A43" s="249"/>
      <c r="B43" s="114" t="s">
        <v>708</v>
      </c>
      <c r="I43" s="115"/>
      <c r="K43" s="40"/>
      <c r="T43" s="216" t="s">
        <v>1221</v>
      </c>
      <c r="U43" s="216"/>
    </row>
    <row r="44" spans="1:22">
      <c r="A44" s="249"/>
      <c r="B44" s="114" t="s">
        <v>710</v>
      </c>
      <c r="I44" s="115"/>
      <c r="L44" t="s">
        <v>1147</v>
      </c>
      <c r="M44" t="s">
        <v>1151</v>
      </c>
      <c r="N44" t="s">
        <v>1151</v>
      </c>
      <c r="O44" t="s">
        <v>1147</v>
      </c>
      <c r="P44" t="s">
        <v>1151</v>
      </c>
    </row>
    <row r="45" spans="1:22" ht="25.95" customHeight="1">
      <c r="A45" s="249"/>
      <c r="B45" s="114" t="s">
        <v>712</v>
      </c>
      <c r="H45" s="65"/>
      <c r="I45" s="115"/>
      <c r="L45" t="s">
        <v>1146</v>
      </c>
      <c r="M45" t="s">
        <v>1153</v>
      </c>
      <c r="N45" t="s">
        <v>1153</v>
      </c>
      <c r="O45" t="s">
        <v>1153</v>
      </c>
    </row>
    <row r="46" spans="1:22" ht="16.95" customHeight="1">
      <c r="A46" s="249"/>
      <c r="B46" s="114" t="s">
        <v>715</v>
      </c>
      <c r="H46" s="65"/>
      <c r="I46" s="115"/>
      <c r="L46" t="s">
        <v>1148</v>
      </c>
      <c r="M46" t="s">
        <v>1152</v>
      </c>
      <c r="N46" t="s">
        <v>266</v>
      </c>
      <c r="O46" t="s">
        <v>1156</v>
      </c>
    </row>
    <row r="47" spans="1:22" ht="16.95" customHeight="1">
      <c r="A47" s="249"/>
      <c r="B47" s="114" t="s">
        <v>717</v>
      </c>
      <c r="H47" s="65"/>
      <c r="I47" s="115"/>
      <c r="L47" t="s">
        <v>330</v>
      </c>
      <c r="M47" t="s">
        <v>330</v>
      </c>
      <c r="N47" t="s">
        <v>1154</v>
      </c>
      <c r="O47" t="s">
        <v>1146</v>
      </c>
    </row>
    <row r="48" spans="1:22" ht="16.95" customHeight="1">
      <c r="A48" s="249"/>
      <c r="B48" s="114" t="s">
        <v>670</v>
      </c>
      <c r="H48" s="65"/>
      <c r="I48" s="116"/>
      <c r="L48" t="s">
        <v>1149</v>
      </c>
      <c r="M48" t="s">
        <v>1157</v>
      </c>
      <c r="N48" t="s">
        <v>1155</v>
      </c>
      <c r="O48" t="s">
        <v>1158</v>
      </c>
    </row>
    <row r="49" spans="1:17" ht="16.95" customHeight="1">
      <c r="A49" s="249"/>
      <c r="B49" s="114" t="s">
        <v>720</v>
      </c>
      <c r="H49" s="65"/>
      <c r="I49" s="116"/>
      <c r="L49" t="s">
        <v>1150</v>
      </c>
    </row>
    <row r="50" spans="1:17" ht="28.95" customHeight="1">
      <c r="A50" s="249"/>
      <c r="B50" s="114" t="s">
        <v>722</v>
      </c>
      <c r="I50" s="116"/>
    </row>
    <row r="51" spans="1:17" ht="28.2" customHeight="1" thickBot="1">
      <c r="A51" s="250"/>
      <c r="B51" s="117" t="s">
        <v>723</v>
      </c>
      <c r="C51" s="94"/>
      <c r="D51" s="94"/>
      <c r="E51" s="94"/>
      <c r="F51" s="94"/>
      <c r="G51" s="94"/>
      <c r="H51" s="94"/>
      <c r="I51" s="118"/>
      <c r="K51" s="40" t="s">
        <v>711</v>
      </c>
      <c r="L51" t="s">
        <v>1198</v>
      </c>
      <c r="M51" t="s">
        <v>726</v>
      </c>
      <c r="N51" t="s">
        <v>1199</v>
      </c>
      <c r="O51" t="s">
        <v>702</v>
      </c>
      <c r="P51" t="s">
        <v>334</v>
      </c>
      <c r="Q51" t="s">
        <v>709</v>
      </c>
    </row>
    <row r="52" spans="1:17">
      <c r="K52" s="40" t="s">
        <v>713</v>
      </c>
      <c r="L52" t="s">
        <v>714</v>
      </c>
      <c r="O52" t="s">
        <v>702</v>
      </c>
    </row>
    <row r="53" spans="1:17">
      <c r="A53" t="s">
        <v>590</v>
      </c>
      <c r="B53" s="40" t="s">
        <v>334</v>
      </c>
      <c r="E53" s="119" t="s">
        <v>724</v>
      </c>
      <c r="G53" s="26" t="s">
        <v>725</v>
      </c>
      <c r="H53" s="26" t="s">
        <v>725</v>
      </c>
      <c r="K53" s="40" t="s">
        <v>716</v>
      </c>
      <c r="O53" t="s">
        <v>702</v>
      </c>
    </row>
    <row r="54" spans="1:17">
      <c r="B54" s="40" t="s">
        <v>726</v>
      </c>
      <c r="F54" s="42" t="s">
        <v>727</v>
      </c>
      <c r="K54" s="40" t="s">
        <v>718</v>
      </c>
      <c r="O54" t="s">
        <v>702</v>
      </c>
    </row>
    <row r="55" spans="1:17">
      <c r="B55" s="40" t="s">
        <v>728</v>
      </c>
      <c r="D55" s="26" t="s">
        <v>729</v>
      </c>
      <c r="K55" s="40" t="s">
        <v>719</v>
      </c>
      <c r="O55" t="s">
        <v>702</v>
      </c>
    </row>
    <row r="56" spans="1:17">
      <c r="B56" s="40" t="s">
        <v>730</v>
      </c>
      <c r="E56" s="110" t="s">
        <v>731</v>
      </c>
      <c r="G56" s="119" t="s">
        <v>732</v>
      </c>
      <c r="K56" s="40" t="s">
        <v>721</v>
      </c>
      <c r="O56" t="s">
        <v>702</v>
      </c>
    </row>
    <row r="57" spans="1:17">
      <c r="B57" s="40" t="s">
        <v>733</v>
      </c>
      <c r="C57" s="42" t="s">
        <v>734</v>
      </c>
    </row>
    <row r="58" spans="1:17">
      <c r="B58" s="40" t="s">
        <v>703</v>
      </c>
      <c r="C58" s="42" t="s">
        <v>704</v>
      </c>
      <c r="D58" s="26" t="s">
        <v>705</v>
      </c>
      <c r="E58" t="s">
        <v>706</v>
      </c>
      <c r="F58" t="s">
        <v>707</v>
      </c>
    </row>
    <row r="59" spans="1:17">
      <c r="B59" s="40" t="s">
        <v>735</v>
      </c>
      <c r="H59" s="42" t="s">
        <v>736</v>
      </c>
    </row>
    <row r="60" spans="1:17">
      <c r="B60" s="40" t="s">
        <v>737</v>
      </c>
    </row>
  </sheetData>
  <mergeCells count="3">
    <mergeCell ref="A2:A34"/>
    <mergeCell ref="A36:A51"/>
    <mergeCell ref="T43:U4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6EE3D-F576-4071-9751-D373DAED762E}">
  <dimension ref="A1:B84"/>
  <sheetViews>
    <sheetView topLeftCell="A61" zoomScaleNormal="100" workbookViewId="0">
      <selection activeCell="B84" sqref="B84"/>
    </sheetView>
  </sheetViews>
  <sheetFormatPr defaultRowHeight="14.4"/>
  <cols>
    <col min="1" max="1" width="11.5546875" customWidth="1"/>
  </cols>
  <sheetData>
    <row r="1" spans="1:2">
      <c r="A1" s="21">
        <f>vacation!B90</f>
        <v>45179</v>
      </c>
      <c r="B1">
        <f>vacation!J90</f>
        <v>68.599999999999994</v>
      </c>
    </row>
    <row r="2" spans="1:2">
      <c r="A2" s="21">
        <f>vacation!B91</f>
        <v>45186</v>
      </c>
      <c r="B2">
        <f>vacation!J91</f>
        <v>66.400000000000006</v>
      </c>
    </row>
    <row r="3" spans="1:2">
      <c r="A3" s="21">
        <f>vacation!B92</f>
        <v>45193</v>
      </c>
      <c r="B3">
        <f>vacation!J92</f>
        <v>65.5</v>
      </c>
    </row>
    <row r="4" spans="1:2">
      <c r="A4" s="21">
        <f>vacation!B93</f>
        <v>45200</v>
      </c>
      <c r="B4">
        <f>vacation!J93</f>
        <v>65.900000000000006</v>
      </c>
    </row>
    <row r="5" spans="1:2">
      <c r="A5" s="21">
        <f>vacation!B94</f>
        <v>45207</v>
      </c>
      <c r="B5">
        <f>vacation!J94</f>
        <v>65.7</v>
      </c>
    </row>
    <row r="6" spans="1:2">
      <c r="A6" s="21">
        <f>vacation!B95</f>
        <v>45214</v>
      </c>
      <c r="B6">
        <f>vacation!J95</f>
        <v>65.3</v>
      </c>
    </row>
    <row r="7" spans="1:2">
      <c r="A7" s="21">
        <f>vacation!B96</f>
        <v>45221</v>
      </c>
      <c r="B7">
        <f>vacation!J96</f>
        <v>64.3</v>
      </c>
    </row>
    <row r="8" spans="1:2">
      <c r="A8" s="21">
        <f>vacation!B97</f>
        <v>45228</v>
      </c>
      <c r="B8">
        <f>vacation!J97</f>
        <v>63.6</v>
      </c>
    </row>
    <row r="9" spans="1:2">
      <c r="A9" s="21">
        <f>vacation!B98</f>
        <v>45235</v>
      </c>
      <c r="B9">
        <f>vacation!J98</f>
        <v>63</v>
      </c>
    </row>
    <row r="10" spans="1:2">
      <c r="A10" s="21">
        <f>vacation!B99</f>
        <v>45242</v>
      </c>
      <c r="B10">
        <f>vacation!J99</f>
        <v>62.9</v>
      </c>
    </row>
    <row r="11" spans="1:2">
      <c r="A11" s="21">
        <f>vacation!B100</f>
        <v>45249</v>
      </c>
      <c r="B11">
        <f>vacation!J100</f>
        <v>62.3</v>
      </c>
    </row>
    <row r="12" spans="1:2">
      <c r="A12" s="21">
        <f>vacation!B101</f>
        <v>45256</v>
      </c>
      <c r="B12">
        <f>vacation!J101</f>
        <v>61.3</v>
      </c>
    </row>
    <row r="13" spans="1:2">
      <c r="A13" s="21">
        <f>vacation!B102</f>
        <v>45263</v>
      </c>
      <c r="B13">
        <f>vacation!J102</f>
        <v>60.6</v>
      </c>
    </row>
    <row r="14" spans="1:2">
      <c r="A14" s="21">
        <f>vacation!B103</f>
        <v>45270</v>
      </c>
      <c r="B14">
        <f>vacation!J103</f>
        <v>61.2</v>
      </c>
    </row>
    <row r="15" spans="1:2">
      <c r="A15" s="21" t="str">
        <f>vacation!B104</f>
        <v>Laura Party</v>
      </c>
      <c r="B15">
        <f>vacation!J104</f>
        <v>61.5</v>
      </c>
    </row>
    <row r="16" spans="1:2">
      <c r="A16" s="21">
        <f>vacation!B105</f>
        <v>45284</v>
      </c>
      <c r="B16">
        <f>vacation!J105</f>
        <v>60.2</v>
      </c>
    </row>
    <row r="17" spans="1:2">
      <c r="A17" s="21">
        <f>vacation!B106</f>
        <v>45291</v>
      </c>
      <c r="B17">
        <f>vacation!J106</f>
        <v>59.2</v>
      </c>
    </row>
    <row r="18" spans="1:2">
      <c r="A18" s="21">
        <f>vacation!B107</f>
        <v>45298</v>
      </c>
      <c r="B18">
        <f>vacation!J107</f>
        <v>60</v>
      </c>
    </row>
    <row r="19" spans="1:2">
      <c r="A19" s="21">
        <f>vacation!B108</f>
        <v>45305</v>
      </c>
      <c r="B19">
        <f>vacation!J108</f>
        <v>60</v>
      </c>
    </row>
    <row r="20" spans="1:2">
      <c r="A20" s="21">
        <f>vacation!B109</f>
        <v>45312</v>
      </c>
      <c r="B20">
        <f>vacation!J109</f>
        <v>60.3</v>
      </c>
    </row>
    <row r="21" spans="1:2">
      <c r="A21" s="21">
        <f>vacation!B110</f>
        <v>45319</v>
      </c>
      <c r="B21">
        <f>vacation!J110</f>
        <v>59.9</v>
      </c>
    </row>
    <row r="22" spans="1:2">
      <c r="A22" s="21">
        <f>vacation!B111</f>
        <v>45326</v>
      </c>
      <c r="B22">
        <f>vacation!J111</f>
        <v>59.8</v>
      </c>
    </row>
    <row r="23" spans="1:2">
      <c r="A23" s="21">
        <f>vacation!B112</f>
        <v>45333</v>
      </c>
      <c r="B23">
        <f>vacation!J112</f>
        <v>60.1</v>
      </c>
    </row>
    <row r="24" spans="1:2">
      <c r="A24" s="21">
        <f>vacation!B113</f>
        <v>45340</v>
      </c>
      <c r="B24">
        <f>vacation!J113</f>
        <v>60.5</v>
      </c>
    </row>
    <row r="25" spans="1:2">
      <c r="A25" s="21">
        <f>vacation!B114</f>
        <v>45347</v>
      </c>
      <c r="B25">
        <f>vacation!J114</f>
        <v>58.85</v>
      </c>
    </row>
    <row r="26" spans="1:2">
      <c r="A26" s="21">
        <f>vacation!B115</f>
        <v>45354</v>
      </c>
      <c r="B26">
        <f>vacation!J115</f>
        <v>58.4</v>
      </c>
    </row>
    <row r="27" spans="1:2">
      <c r="A27" s="21">
        <f>vacation!B116</f>
        <v>45361</v>
      </c>
      <c r="B27">
        <f>vacation!J116</f>
        <v>58.5</v>
      </c>
    </row>
    <row r="28" spans="1:2">
      <c r="A28" s="21">
        <f>vacation!B117</f>
        <v>45368</v>
      </c>
      <c r="B28">
        <f>vacation!J117</f>
        <v>59.05</v>
      </c>
    </row>
    <row r="29" spans="1:2">
      <c r="A29" s="21">
        <f>vacation!B118</f>
        <v>45375</v>
      </c>
      <c r="B29">
        <f>vacation!J118</f>
        <v>59</v>
      </c>
    </row>
    <row r="30" spans="1:2">
      <c r="A30" s="21">
        <f>vacation!B119</f>
        <v>45382</v>
      </c>
      <c r="B30">
        <f>vacation!J119</f>
        <v>59.5</v>
      </c>
    </row>
    <row r="31" spans="1:2">
      <c r="A31" s="21">
        <f>vacation!B120</f>
        <v>45389</v>
      </c>
      <c r="B31">
        <f>vacation!J120</f>
        <v>59.3</v>
      </c>
    </row>
    <row r="32" spans="1:2">
      <c r="A32" s="21">
        <f>vacation!B121</f>
        <v>45396</v>
      </c>
      <c r="B32">
        <f>vacation!J121</f>
        <v>60</v>
      </c>
    </row>
    <row r="33" spans="1:2">
      <c r="A33" s="21">
        <f>vacation!B122</f>
        <v>45403</v>
      </c>
      <c r="B33">
        <f>vacation!J122</f>
        <v>59.75</v>
      </c>
    </row>
    <row r="34" spans="1:2">
      <c r="A34" s="21">
        <f>vacation!B123</f>
        <v>45410</v>
      </c>
      <c r="B34">
        <f>vacation!J123</f>
        <v>60.05</v>
      </c>
    </row>
    <row r="35" spans="1:2">
      <c r="A35" s="21">
        <f>vacation!B124</f>
        <v>45417</v>
      </c>
      <c r="B35">
        <f>vacation!J124</f>
        <v>60.5</v>
      </c>
    </row>
    <row r="36" spans="1:2">
      <c r="A36" s="21">
        <f>vacation!B125</f>
        <v>45424</v>
      </c>
      <c r="B36">
        <f>vacation!J125</f>
        <v>60.95</v>
      </c>
    </row>
    <row r="37" spans="1:2">
      <c r="A37" s="21">
        <f>vacation!B126</f>
        <v>45431</v>
      </c>
      <c r="B37">
        <f>vacation!J126</f>
        <v>59.75</v>
      </c>
    </row>
    <row r="38" spans="1:2">
      <c r="A38" s="21">
        <f>vacation!B127</f>
        <v>45438</v>
      </c>
      <c r="B38">
        <f>vacation!J127</f>
        <v>60.45</v>
      </c>
    </row>
    <row r="39" spans="1:2">
      <c r="A39" s="21">
        <f>vacation!B128</f>
        <v>45445</v>
      </c>
      <c r="B39">
        <f>vacation!J128</f>
        <v>61.35</v>
      </c>
    </row>
    <row r="40" spans="1:2">
      <c r="A40" s="21">
        <f>vacation!B129</f>
        <v>45452</v>
      </c>
      <c r="B40">
        <f>vacation!J129</f>
        <v>60.95</v>
      </c>
    </row>
    <row r="41" spans="1:2">
      <c r="A41" s="21">
        <f>vacation!B130</f>
        <v>45459</v>
      </c>
      <c r="B41">
        <f>vacation!J130</f>
        <v>62.5</v>
      </c>
    </row>
    <row r="42" spans="1:2">
      <c r="A42" s="21">
        <f>vacation!B131</f>
        <v>45466</v>
      </c>
      <c r="B42">
        <f>vacation!J131</f>
        <v>61.5</v>
      </c>
    </row>
    <row r="43" spans="1:2">
      <c r="A43" s="21">
        <f>vacation!B132</f>
        <v>45473</v>
      </c>
      <c r="B43">
        <f>vacation!J132</f>
        <v>61</v>
      </c>
    </row>
    <row r="44" spans="1:2">
      <c r="A44" s="21">
        <f>vacation!B133</f>
        <v>45480</v>
      </c>
      <c r="B44">
        <f>vacation!J133</f>
        <v>60.2</v>
      </c>
    </row>
    <row r="45" spans="1:2">
      <c r="A45" s="21">
        <f>vacation!B134</f>
        <v>45487</v>
      </c>
      <c r="B45">
        <f>vacation!J134</f>
        <v>61.25</v>
      </c>
    </row>
    <row r="46" spans="1:2">
      <c r="A46" s="21">
        <f>vacation!B135</f>
        <v>45494</v>
      </c>
      <c r="B46">
        <f>vacation!J135</f>
        <v>61.25</v>
      </c>
    </row>
    <row r="47" spans="1:2">
      <c r="A47" s="21">
        <f>vacation!B136</f>
        <v>45501</v>
      </c>
      <c r="B47">
        <f>vacation!J136</f>
        <v>61.25</v>
      </c>
    </row>
    <row r="48" spans="1:2">
      <c r="A48" s="21">
        <f>vacation!B137</f>
        <v>45508</v>
      </c>
      <c r="B48">
        <f>vacation!J137</f>
        <v>60.7</v>
      </c>
    </row>
    <row r="49" spans="1:2">
      <c r="A49" s="21">
        <f>vacation!B138</f>
        <v>45515</v>
      </c>
      <c r="B49">
        <f>vacation!J138</f>
        <v>61.2</v>
      </c>
    </row>
    <row r="50" spans="1:2">
      <c r="A50" s="21">
        <f>vacation!B139</f>
        <v>45522</v>
      </c>
      <c r="B50">
        <f>vacation!J139</f>
        <v>61</v>
      </c>
    </row>
    <row r="51" spans="1:2">
      <c r="A51" s="21">
        <f>vacation!B140</f>
        <v>45529</v>
      </c>
      <c r="B51">
        <f>vacation!J140</f>
        <v>61</v>
      </c>
    </row>
    <row r="52" spans="1:2">
      <c r="A52" s="21">
        <f>vacation!B141</f>
        <v>45536</v>
      </c>
      <c r="B52">
        <f>vacation!J141</f>
        <v>61</v>
      </c>
    </row>
    <row r="53" spans="1:2">
      <c r="A53" s="21">
        <f>vacation!B142</f>
        <v>45543</v>
      </c>
      <c r="B53">
        <f>vacation!J142</f>
        <v>60.2</v>
      </c>
    </row>
    <row r="54" spans="1:2">
      <c r="A54" s="21">
        <f>vacation!B143</f>
        <v>45550</v>
      </c>
      <c r="B54">
        <f>vacation!J143</f>
        <v>61.3</v>
      </c>
    </row>
    <row r="55" spans="1:2">
      <c r="A55" s="21">
        <f>vacation!B144</f>
        <v>45557</v>
      </c>
      <c r="B55">
        <f>vacation!J144</f>
        <v>61.4</v>
      </c>
    </row>
    <row r="56" spans="1:2">
      <c r="A56" s="21">
        <f>vacation!B145</f>
        <v>45564</v>
      </c>
      <c r="B56">
        <f>vacation!J145</f>
        <v>60.6</v>
      </c>
    </row>
    <row r="57" spans="1:2">
      <c r="A57" s="21">
        <f>vacation!B146</f>
        <v>45571</v>
      </c>
      <c r="B57">
        <f>vacation!J146</f>
        <v>61.7</v>
      </c>
    </row>
    <row r="58" spans="1:2">
      <c r="A58" s="21">
        <f>vacation!B147</f>
        <v>45578</v>
      </c>
      <c r="B58">
        <f>vacation!J147</f>
        <v>60.4</v>
      </c>
    </row>
    <row r="59" spans="1:2">
      <c r="A59" s="21">
        <f>vacation!B148</f>
        <v>45585</v>
      </c>
      <c r="B59">
        <f>vacation!J148</f>
        <v>60.85</v>
      </c>
    </row>
    <row r="60" spans="1:2">
      <c r="A60" s="21">
        <f>vacation!B149</f>
        <v>45592</v>
      </c>
      <c r="B60">
        <f>vacation!J149</f>
        <v>61.8</v>
      </c>
    </row>
    <row r="61" spans="1:2">
      <c r="A61" s="21">
        <f>vacation!B150</f>
        <v>45599</v>
      </c>
      <c r="B61">
        <f>vacation!J150</f>
        <v>61.25</v>
      </c>
    </row>
    <row r="62" spans="1:2">
      <c r="A62" s="21">
        <f>vacation!B151</f>
        <v>45606</v>
      </c>
      <c r="B62">
        <f>vacation!J151</f>
        <v>62.25</v>
      </c>
    </row>
    <row r="63" spans="1:2">
      <c r="A63" s="21">
        <f>vacation!B152</f>
        <v>45613</v>
      </c>
      <c r="B63">
        <f>vacation!J152</f>
        <v>61.45</v>
      </c>
    </row>
    <row r="64" spans="1:2">
      <c r="A64" s="21">
        <f>vacation!B153</f>
        <v>45620</v>
      </c>
      <c r="B64">
        <f>vacation!J153</f>
        <v>61.95</v>
      </c>
    </row>
    <row r="65" spans="1:2">
      <c r="A65" s="21">
        <f>vacation!B154</f>
        <v>45627</v>
      </c>
      <c r="B65">
        <f>vacation!J154</f>
        <v>61.45</v>
      </c>
    </row>
    <row r="66" spans="1:2">
      <c r="A66" s="21">
        <f>vacation!B155</f>
        <v>45634</v>
      </c>
      <c r="B66">
        <f>vacation!J155</f>
        <v>62.75</v>
      </c>
    </row>
    <row r="67" spans="1:2">
      <c r="A67" s="21">
        <f>vacation!B156</f>
        <v>45641</v>
      </c>
      <c r="B67">
        <f>vacation!J156</f>
        <v>62.5</v>
      </c>
    </row>
    <row r="68" spans="1:2">
      <c r="A68" s="21">
        <f>vacation!B157</f>
        <v>45648</v>
      </c>
      <c r="B68">
        <f>vacation!J157</f>
        <v>62.25</v>
      </c>
    </row>
    <row r="69" spans="1:2">
      <c r="A69" s="21">
        <f>vacation!B158</f>
        <v>45655</v>
      </c>
      <c r="B69">
        <f>vacation!J158</f>
        <v>62.8</v>
      </c>
    </row>
    <row r="70" spans="1:2">
      <c r="A70" s="21">
        <f>vacation!B159</f>
        <v>45662</v>
      </c>
      <c r="B70">
        <f>vacation!J159</f>
        <v>63.2</v>
      </c>
    </row>
    <row r="71" spans="1:2">
      <c r="A71" s="21">
        <f>vacation!B160</f>
        <v>45669</v>
      </c>
      <c r="B71">
        <f>vacation!J160</f>
        <v>63.3</v>
      </c>
    </row>
    <row r="72" spans="1:2">
      <c r="A72" s="21">
        <f>vacation!B161</f>
        <v>45676</v>
      </c>
      <c r="B72">
        <f>vacation!J161</f>
        <v>62.9</v>
      </c>
    </row>
    <row r="73" spans="1:2">
      <c r="A73" s="21">
        <f>vacation!B162</f>
        <v>45683</v>
      </c>
      <c r="B73">
        <f>vacation!J162</f>
        <v>62.7</v>
      </c>
    </row>
    <row r="74" spans="1:2">
      <c r="A74" s="21">
        <f>vacation!B163</f>
        <v>45690</v>
      </c>
      <c r="B74">
        <f>vacation!J163</f>
        <v>62.9</v>
      </c>
    </row>
    <row r="75" spans="1:2">
      <c r="A75" s="21">
        <f>vacation!B164</f>
        <v>45697</v>
      </c>
      <c r="B75">
        <f>vacation!J164</f>
        <v>63.3</v>
      </c>
    </row>
    <row r="76" spans="1:2">
      <c r="A76" s="21">
        <f>vacation!B165</f>
        <v>45704</v>
      </c>
      <c r="B76">
        <f>vacation!J165</f>
        <v>63.3</v>
      </c>
    </row>
    <row r="77" spans="1:2">
      <c r="A77" s="21">
        <f>vacation!B166</f>
        <v>45711</v>
      </c>
      <c r="B77">
        <f>vacation!J166</f>
        <v>63.5</v>
      </c>
    </row>
    <row r="78" spans="1:2">
      <c r="A78" s="21">
        <f>vacation!B167</f>
        <v>45718</v>
      </c>
      <c r="B78">
        <f>vacation!J167</f>
        <v>63.75</v>
      </c>
    </row>
    <row r="79" spans="1:2">
      <c r="A79" s="21">
        <f>vacation!B168</f>
        <v>45725</v>
      </c>
      <c r="B79">
        <f>vacation!J168</f>
        <v>64.5</v>
      </c>
    </row>
    <row r="80" spans="1:2">
      <c r="A80" s="21">
        <f>vacation!B169</f>
        <v>45732</v>
      </c>
      <c r="B80">
        <f>vacation!J169</f>
        <v>64.400000000000006</v>
      </c>
    </row>
    <row r="81" spans="1:2">
      <c r="A81" s="21">
        <f>vacation!B170</f>
        <v>45739</v>
      </c>
      <c r="B81">
        <f>vacation!J170</f>
        <v>64.849999999999994</v>
      </c>
    </row>
    <row r="82" spans="1:2">
      <c r="A82" s="21">
        <f>vacation!B171</f>
        <v>45746</v>
      </c>
      <c r="B82">
        <f>vacation!J171</f>
        <v>65.349999999999994</v>
      </c>
    </row>
    <row r="83" spans="1:2">
      <c r="A83" s="21">
        <f>vacation!B172</f>
        <v>45753</v>
      </c>
      <c r="B83">
        <f>vacation!J172</f>
        <v>65.8</v>
      </c>
    </row>
    <row r="84" spans="1:2">
      <c r="A84" s="21">
        <f>vacation!B173</f>
        <v>45760</v>
      </c>
      <c r="B84">
        <f>vacation!J173</f>
        <v>65.8</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74CBE-2C19-4661-A510-05EB68F27FA6}">
  <dimension ref="A1:U71"/>
  <sheetViews>
    <sheetView workbookViewId="0">
      <selection activeCell="L41" sqref="L41"/>
    </sheetView>
  </sheetViews>
  <sheetFormatPr defaultRowHeight="14.4"/>
  <cols>
    <col min="1" max="1" width="9.109375" bestFit="1" customWidth="1"/>
    <col min="2" max="8" width="11" bestFit="1" customWidth="1"/>
    <col min="9" max="9" width="2" bestFit="1" customWidth="1"/>
    <col min="10" max="10" width="14.6640625" bestFit="1" customWidth="1"/>
    <col min="11" max="11" width="3" bestFit="1" customWidth="1"/>
    <col min="12" max="12" width="6.6640625" customWidth="1"/>
    <col min="13" max="13" width="6" bestFit="1" customWidth="1"/>
    <col min="14" max="14" width="36.33203125" customWidth="1"/>
    <col min="15" max="15" width="12.109375" bestFit="1" customWidth="1"/>
    <col min="18" max="18" width="5.33203125" bestFit="1" customWidth="1"/>
    <col min="19" max="20" width="11" bestFit="1" customWidth="1"/>
    <col min="21" max="21" width="5.5546875" bestFit="1" customWidth="1"/>
  </cols>
  <sheetData>
    <row r="1" spans="1:21" ht="15" thickBot="1">
      <c r="B1" t="s">
        <v>216</v>
      </c>
      <c r="C1" t="s">
        <v>217</v>
      </c>
      <c r="D1" t="s">
        <v>218</v>
      </c>
      <c r="E1" t="s">
        <v>219</v>
      </c>
      <c r="F1" t="s">
        <v>220</v>
      </c>
      <c r="G1" t="s">
        <v>221</v>
      </c>
      <c r="H1" t="s">
        <v>215</v>
      </c>
      <c r="M1" t="s">
        <v>1121</v>
      </c>
    </row>
    <row r="2" spans="1:21" ht="15" thickBot="1">
      <c r="A2" t="s">
        <v>1070</v>
      </c>
      <c r="B2" s="173">
        <f>C2-1</f>
        <v>45901</v>
      </c>
      <c r="C2" s="173">
        <f>D2-1</f>
        <v>45902</v>
      </c>
      <c r="D2" s="173">
        <v>45903</v>
      </c>
      <c r="E2" s="173">
        <f t="shared" ref="E2:H17" si="0">D2+1</f>
        <v>45904</v>
      </c>
      <c r="F2" s="173">
        <f t="shared" si="0"/>
        <v>45905</v>
      </c>
      <c r="G2" s="21">
        <f t="shared" si="0"/>
        <v>45906</v>
      </c>
      <c r="H2" s="21">
        <f t="shared" si="0"/>
        <v>45907</v>
      </c>
      <c r="J2" s="165" t="s">
        <v>1085</v>
      </c>
      <c r="K2" s="166">
        <v>10</v>
      </c>
      <c r="M2" s="189" t="b">
        <v>1</v>
      </c>
      <c r="N2" t="s">
        <v>1106</v>
      </c>
    </row>
    <row r="3" spans="1:21">
      <c r="A3" t="s">
        <v>396</v>
      </c>
      <c r="B3" s="163">
        <v>45908</v>
      </c>
      <c r="C3" s="163">
        <f t="shared" ref="C3:H34" si="1">B3+1</f>
        <v>45909</v>
      </c>
      <c r="D3" s="163">
        <f t="shared" si="1"/>
        <v>45910</v>
      </c>
      <c r="E3" s="163">
        <f t="shared" si="0"/>
        <v>45911</v>
      </c>
      <c r="F3" s="163">
        <f t="shared" si="0"/>
        <v>45912</v>
      </c>
      <c r="G3" s="163">
        <f t="shared" si="0"/>
        <v>45913</v>
      </c>
      <c r="H3" s="163">
        <f t="shared" si="0"/>
        <v>45914</v>
      </c>
      <c r="M3" s="189" t="b">
        <v>0</v>
      </c>
      <c r="N3" t="s">
        <v>1188</v>
      </c>
    </row>
    <row r="4" spans="1:21" ht="15" thickBot="1">
      <c r="A4" t="s">
        <v>400</v>
      </c>
      <c r="B4" s="163">
        <f>B3+7</f>
        <v>45915</v>
      </c>
      <c r="C4" s="163">
        <f t="shared" si="1"/>
        <v>45916</v>
      </c>
      <c r="D4" s="163">
        <f t="shared" si="1"/>
        <v>45917</v>
      </c>
      <c r="E4" s="163">
        <f t="shared" si="0"/>
        <v>45918</v>
      </c>
      <c r="F4" s="163">
        <f t="shared" si="0"/>
        <v>45919</v>
      </c>
      <c r="G4" s="163">
        <f t="shared" si="0"/>
        <v>45920</v>
      </c>
      <c r="H4" s="163">
        <f t="shared" si="0"/>
        <v>45921</v>
      </c>
      <c r="K4" s="4">
        <f>SUM(K5:K9)</f>
        <v>48</v>
      </c>
      <c r="M4" s="189" t="b">
        <v>0</v>
      </c>
      <c r="N4" t="s">
        <v>1171</v>
      </c>
    </row>
    <row r="5" spans="1:21">
      <c r="A5" t="s">
        <v>402</v>
      </c>
      <c r="B5" s="163">
        <f t="shared" ref="B5:B68" si="2">B4+7</f>
        <v>45922</v>
      </c>
      <c r="C5" s="163">
        <f t="shared" si="1"/>
        <v>45923</v>
      </c>
      <c r="D5" s="163">
        <f t="shared" si="1"/>
        <v>45924</v>
      </c>
      <c r="E5" s="163">
        <f t="shared" si="0"/>
        <v>45925</v>
      </c>
      <c r="F5" s="163">
        <f t="shared" si="0"/>
        <v>45926</v>
      </c>
      <c r="G5" s="163">
        <f t="shared" si="0"/>
        <v>45927</v>
      </c>
      <c r="H5" s="163">
        <f t="shared" si="0"/>
        <v>45928</v>
      </c>
      <c r="J5" s="167" t="s">
        <v>1070</v>
      </c>
      <c r="K5" s="162">
        <f>vacation!I1-5</f>
        <v>19</v>
      </c>
      <c r="M5" s="189" t="b">
        <v>0</v>
      </c>
      <c r="N5" t="s">
        <v>1107</v>
      </c>
    </row>
    <row r="6" spans="1:21">
      <c r="A6" t="s">
        <v>405</v>
      </c>
      <c r="B6" s="163">
        <f t="shared" si="2"/>
        <v>45929</v>
      </c>
      <c r="C6" s="163">
        <f t="shared" si="1"/>
        <v>45930</v>
      </c>
      <c r="D6" s="163">
        <f t="shared" si="1"/>
        <v>45931</v>
      </c>
      <c r="E6" s="163">
        <f t="shared" si="0"/>
        <v>45932</v>
      </c>
      <c r="F6" s="163">
        <f t="shared" si="0"/>
        <v>45933</v>
      </c>
      <c r="G6" s="163">
        <f t="shared" si="0"/>
        <v>45934</v>
      </c>
      <c r="H6" s="163">
        <f t="shared" si="0"/>
        <v>45935</v>
      </c>
      <c r="J6" s="168" t="s">
        <v>1071</v>
      </c>
      <c r="K6" s="115">
        <v>2</v>
      </c>
      <c r="M6" s="189" t="b">
        <v>0</v>
      </c>
      <c r="N6" t="s">
        <v>1108</v>
      </c>
      <c r="U6" t="s">
        <v>1133</v>
      </c>
    </row>
    <row r="7" spans="1:21">
      <c r="A7" t="s">
        <v>410</v>
      </c>
      <c r="B7" s="163">
        <f t="shared" si="2"/>
        <v>45936</v>
      </c>
      <c r="C7" s="163">
        <f t="shared" si="1"/>
        <v>45937</v>
      </c>
      <c r="D7" s="163">
        <f t="shared" si="1"/>
        <v>45938</v>
      </c>
      <c r="E7" s="163">
        <f t="shared" si="0"/>
        <v>45939</v>
      </c>
      <c r="F7" s="163">
        <f t="shared" si="0"/>
        <v>45940</v>
      </c>
      <c r="G7" s="163">
        <f t="shared" si="0"/>
        <v>45941</v>
      </c>
      <c r="H7" s="163">
        <f t="shared" si="0"/>
        <v>45942</v>
      </c>
      <c r="J7" s="168" t="s">
        <v>1072</v>
      </c>
      <c r="K7" s="115">
        <f>30-K10</f>
        <v>23</v>
      </c>
      <c r="M7" s="189" t="b">
        <v>0</v>
      </c>
      <c r="N7" t="s">
        <v>1109</v>
      </c>
      <c r="R7" t="s">
        <v>1110</v>
      </c>
      <c r="S7" s="21">
        <v>45837</v>
      </c>
      <c r="T7" s="21">
        <v>46012</v>
      </c>
      <c r="U7">
        <f>T7-S7</f>
        <v>175</v>
      </c>
    </row>
    <row r="8" spans="1:21" ht="15" thickBot="1">
      <c r="A8" t="s">
        <v>414</v>
      </c>
      <c r="B8" s="163">
        <f t="shared" si="2"/>
        <v>45943</v>
      </c>
      <c r="C8" s="163">
        <f t="shared" si="1"/>
        <v>45944</v>
      </c>
      <c r="D8" s="163">
        <f t="shared" si="1"/>
        <v>45945</v>
      </c>
      <c r="E8" s="163">
        <f t="shared" si="0"/>
        <v>45946</v>
      </c>
      <c r="F8" s="163">
        <f t="shared" si="0"/>
        <v>45947</v>
      </c>
      <c r="G8" s="163">
        <f t="shared" si="0"/>
        <v>45948</v>
      </c>
      <c r="H8" s="163">
        <f t="shared" si="0"/>
        <v>45949</v>
      </c>
      <c r="J8" s="169" t="s">
        <v>1073</v>
      </c>
      <c r="K8" s="161">
        <v>4</v>
      </c>
      <c r="M8" s="189" t="b">
        <v>0</v>
      </c>
      <c r="N8" t="s">
        <v>1120</v>
      </c>
      <c r="R8" t="s">
        <v>1112</v>
      </c>
      <c r="S8" s="21">
        <v>45907</v>
      </c>
      <c r="T8" s="21">
        <v>45942</v>
      </c>
      <c r="U8">
        <f t="shared" ref="U8:U10" si="3">T8-S8</f>
        <v>35</v>
      </c>
    </row>
    <row r="9" spans="1:21">
      <c r="A9" t="s">
        <v>419</v>
      </c>
      <c r="B9" s="163">
        <f t="shared" si="2"/>
        <v>45950</v>
      </c>
      <c r="C9" s="163">
        <f t="shared" si="1"/>
        <v>45951</v>
      </c>
      <c r="D9" s="163">
        <f t="shared" si="1"/>
        <v>45952</v>
      </c>
      <c r="E9" s="163">
        <f t="shared" si="0"/>
        <v>45953</v>
      </c>
      <c r="F9" s="163">
        <f t="shared" si="0"/>
        <v>45954</v>
      </c>
      <c r="G9" s="163">
        <f t="shared" si="0"/>
        <v>45955</v>
      </c>
      <c r="H9" s="163">
        <f t="shared" si="0"/>
        <v>45956</v>
      </c>
      <c r="R9" t="s">
        <v>1111</v>
      </c>
      <c r="S9" s="21">
        <v>46012</v>
      </c>
      <c r="T9" s="21">
        <v>46190</v>
      </c>
      <c r="U9">
        <f t="shared" si="3"/>
        <v>178</v>
      </c>
    </row>
    <row r="10" spans="1:21">
      <c r="A10" t="s">
        <v>424</v>
      </c>
      <c r="B10" s="163">
        <f t="shared" si="2"/>
        <v>45957</v>
      </c>
      <c r="C10" s="163">
        <f t="shared" si="1"/>
        <v>45958</v>
      </c>
      <c r="D10" s="163">
        <f t="shared" si="1"/>
        <v>45959</v>
      </c>
      <c r="E10" s="163">
        <f t="shared" si="0"/>
        <v>45960</v>
      </c>
      <c r="F10" s="163">
        <f t="shared" si="0"/>
        <v>45961</v>
      </c>
      <c r="G10" s="163">
        <f t="shared" si="0"/>
        <v>45962</v>
      </c>
      <c r="H10" s="163">
        <f t="shared" si="0"/>
        <v>45963</v>
      </c>
      <c r="J10" t="s">
        <v>1086</v>
      </c>
      <c r="K10">
        <v>7</v>
      </c>
      <c r="N10" s="181" t="s">
        <v>1113</v>
      </c>
      <c r="O10" t="s">
        <v>1114</v>
      </c>
      <c r="R10" t="s">
        <v>742</v>
      </c>
      <c r="S10" s="21">
        <v>46190</v>
      </c>
      <c r="T10" s="21">
        <v>46369</v>
      </c>
      <c r="U10">
        <f t="shared" si="3"/>
        <v>179</v>
      </c>
    </row>
    <row r="11" spans="1:21">
      <c r="A11" t="s">
        <v>429</v>
      </c>
      <c r="B11" s="163">
        <f t="shared" si="2"/>
        <v>45964</v>
      </c>
      <c r="C11" s="163">
        <f t="shared" si="1"/>
        <v>45965</v>
      </c>
      <c r="D11" s="163">
        <f t="shared" si="1"/>
        <v>45966</v>
      </c>
      <c r="E11" s="163">
        <f t="shared" si="0"/>
        <v>45967</v>
      </c>
      <c r="F11" s="163">
        <f t="shared" si="0"/>
        <v>45968</v>
      </c>
      <c r="G11" s="163">
        <f t="shared" si="0"/>
        <v>45969</v>
      </c>
      <c r="H11" s="163">
        <f t="shared" si="0"/>
        <v>45970</v>
      </c>
      <c r="N11" s="35"/>
      <c r="O11" t="s">
        <v>1115</v>
      </c>
      <c r="T11" s="21"/>
    </row>
    <row r="12" spans="1:21">
      <c r="A12" t="s">
        <v>433</v>
      </c>
      <c r="B12" s="163">
        <f t="shared" si="2"/>
        <v>45971</v>
      </c>
      <c r="C12" s="163">
        <f t="shared" si="1"/>
        <v>45972</v>
      </c>
      <c r="D12" s="163">
        <f t="shared" si="1"/>
        <v>45973</v>
      </c>
      <c r="E12" s="163">
        <f t="shared" si="0"/>
        <v>45974</v>
      </c>
      <c r="F12" s="163">
        <f t="shared" si="0"/>
        <v>45975</v>
      </c>
      <c r="G12" s="163">
        <f t="shared" si="0"/>
        <v>45976</v>
      </c>
      <c r="H12" s="163">
        <f t="shared" si="0"/>
        <v>45977</v>
      </c>
      <c r="J12" t="s">
        <v>1087</v>
      </c>
      <c r="K12" s="119"/>
      <c r="N12" s="35"/>
      <c r="O12" t="s">
        <v>1116</v>
      </c>
    </row>
    <row r="13" spans="1:21">
      <c r="A13" t="s">
        <v>437</v>
      </c>
      <c r="B13" s="163">
        <f t="shared" si="2"/>
        <v>45978</v>
      </c>
      <c r="C13" s="163">
        <f t="shared" si="1"/>
        <v>45979</v>
      </c>
      <c r="D13" s="163">
        <f t="shared" si="1"/>
        <v>45980</v>
      </c>
      <c r="E13" s="163">
        <f t="shared" si="0"/>
        <v>45981</v>
      </c>
      <c r="F13" s="163">
        <f t="shared" si="0"/>
        <v>45982</v>
      </c>
      <c r="G13" s="163">
        <f t="shared" si="0"/>
        <v>45983</v>
      </c>
      <c r="H13" s="163">
        <f t="shared" si="0"/>
        <v>45984</v>
      </c>
      <c r="J13" t="s">
        <v>1088</v>
      </c>
      <c r="K13" s="164"/>
      <c r="N13" s="35" t="s">
        <v>1117</v>
      </c>
      <c r="O13" t="s">
        <v>1118</v>
      </c>
    </row>
    <row r="14" spans="1:21">
      <c r="A14" t="s">
        <v>442</v>
      </c>
      <c r="B14" s="163">
        <f t="shared" si="2"/>
        <v>45985</v>
      </c>
      <c r="C14" s="163">
        <f t="shared" si="1"/>
        <v>45986</v>
      </c>
      <c r="D14" s="163">
        <f t="shared" si="1"/>
        <v>45987</v>
      </c>
      <c r="E14" s="163">
        <f t="shared" si="0"/>
        <v>45988</v>
      </c>
      <c r="F14" s="163">
        <f t="shared" si="0"/>
        <v>45989</v>
      </c>
      <c r="G14" s="163">
        <f t="shared" si="0"/>
        <v>45990</v>
      </c>
      <c r="H14" s="163">
        <f t="shared" si="0"/>
        <v>45991</v>
      </c>
      <c r="N14" s="35" t="s">
        <v>1134</v>
      </c>
      <c r="O14" t="s">
        <v>1135</v>
      </c>
    </row>
    <row r="15" spans="1:21">
      <c r="A15" t="s">
        <v>446</v>
      </c>
      <c r="B15" s="163">
        <f t="shared" si="2"/>
        <v>45992</v>
      </c>
      <c r="C15" s="163">
        <f t="shared" si="1"/>
        <v>45993</v>
      </c>
      <c r="D15" s="163">
        <f t="shared" si="1"/>
        <v>45994</v>
      </c>
      <c r="E15" s="163">
        <f t="shared" si="0"/>
        <v>45995</v>
      </c>
      <c r="F15" s="163">
        <f t="shared" si="0"/>
        <v>45996</v>
      </c>
      <c r="G15" s="163">
        <f t="shared" si="0"/>
        <v>45997</v>
      </c>
      <c r="H15" s="163">
        <f t="shared" si="0"/>
        <v>45998</v>
      </c>
      <c r="N15" s="35" t="s">
        <v>1119</v>
      </c>
      <c r="O15" t="s">
        <v>1116</v>
      </c>
    </row>
    <row r="16" spans="1:21">
      <c r="A16" t="s">
        <v>450</v>
      </c>
      <c r="B16" s="163">
        <f t="shared" si="2"/>
        <v>45999</v>
      </c>
      <c r="C16" s="163">
        <f t="shared" si="1"/>
        <v>46000</v>
      </c>
      <c r="D16" s="163">
        <f t="shared" si="1"/>
        <v>46001</v>
      </c>
      <c r="E16" s="163">
        <f t="shared" si="0"/>
        <v>46002</v>
      </c>
      <c r="F16" s="163">
        <f t="shared" si="0"/>
        <v>46003</v>
      </c>
      <c r="G16" s="163">
        <f t="shared" si="0"/>
        <v>46004</v>
      </c>
      <c r="H16" s="163">
        <f t="shared" si="0"/>
        <v>46005</v>
      </c>
    </row>
    <row r="17" spans="1:8">
      <c r="A17" t="s">
        <v>454</v>
      </c>
      <c r="B17" s="163">
        <f t="shared" si="2"/>
        <v>46006</v>
      </c>
      <c r="C17" s="163">
        <f t="shared" si="1"/>
        <v>46007</v>
      </c>
      <c r="D17" s="163">
        <f t="shared" si="1"/>
        <v>46008</v>
      </c>
      <c r="E17" s="163">
        <f t="shared" si="0"/>
        <v>46009</v>
      </c>
      <c r="F17" s="163">
        <f t="shared" si="0"/>
        <v>46010</v>
      </c>
      <c r="G17" s="163">
        <f t="shared" si="0"/>
        <v>46011</v>
      </c>
      <c r="H17" s="163">
        <f t="shared" si="0"/>
        <v>46012</v>
      </c>
    </row>
    <row r="18" spans="1:8">
      <c r="A18" t="s">
        <v>456</v>
      </c>
      <c r="B18" s="163">
        <f t="shared" si="2"/>
        <v>46013</v>
      </c>
      <c r="C18" s="163">
        <f t="shared" si="1"/>
        <v>46014</v>
      </c>
      <c r="D18" s="163">
        <f t="shared" si="1"/>
        <v>46015</v>
      </c>
      <c r="E18" s="163">
        <f t="shared" si="1"/>
        <v>46016</v>
      </c>
      <c r="F18" s="163">
        <f t="shared" si="1"/>
        <v>46017</v>
      </c>
      <c r="G18" s="163">
        <f t="shared" si="1"/>
        <v>46018</v>
      </c>
      <c r="H18" s="163">
        <f t="shared" si="1"/>
        <v>46019</v>
      </c>
    </row>
    <row r="19" spans="1:8">
      <c r="A19" t="s">
        <v>458</v>
      </c>
      <c r="B19" s="163">
        <f t="shared" si="2"/>
        <v>46020</v>
      </c>
      <c r="C19" s="163">
        <f t="shared" si="1"/>
        <v>46021</v>
      </c>
      <c r="D19" s="163">
        <f t="shared" si="1"/>
        <v>46022</v>
      </c>
      <c r="E19" s="163">
        <f t="shared" si="1"/>
        <v>46023</v>
      </c>
      <c r="F19" s="163">
        <f t="shared" si="1"/>
        <v>46024</v>
      </c>
      <c r="G19" s="163">
        <f t="shared" si="1"/>
        <v>46025</v>
      </c>
      <c r="H19" s="163">
        <f t="shared" si="1"/>
        <v>46026</v>
      </c>
    </row>
    <row r="20" spans="1:8">
      <c r="A20" t="s">
        <v>461</v>
      </c>
      <c r="B20" s="163">
        <f t="shared" si="2"/>
        <v>46027</v>
      </c>
      <c r="C20" s="163">
        <f t="shared" si="1"/>
        <v>46028</v>
      </c>
      <c r="D20" s="163">
        <f t="shared" si="1"/>
        <v>46029</v>
      </c>
      <c r="E20" s="163">
        <f t="shared" si="1"/>
        <v>46030</v>
      </c>
      <c r="F20" s="163">
        <f t="shared" si="1"/>
        <v>46031</v>
      </c>
      <c r="G20" s="163">
        <f t="shared" si="1"/>
        <v>46032</v>
      </c>
      <c r="H20" s="163">
        <f t="shared" si="1"/>
        <v>46033</v>
      </c>
    </row>
    <row r="21" spans="1:8">
      <c r="A21" t="s">
        <v>464</v>
      </c>
      <c r="B21" s="163">
        <f t="shared" si="2"/>
        <v>46034</v>
      </c>
      <c r="C21" s="163">
        <f t="shared" si="1"/>
        <v>46035</v>
      </c>
      <c r="D21" s="163">
        <f t="shared" si="1"/>
        <v>46036</v>
      </c>
      <c r="E21" s="163">
        <f t="shared" si="1"/>
        <v>46037</v>
      </c>
      <c r="F21" s="163">
        <f t="shared" si="1"/>
        <v>46038</v>
      </c>
      <c r="G21" s="163">
        <f t="shared" si="1"/>
        <v>46039</v>
      </c>
      <c r="H21" s="163">
        <f t="shared" si="1"/>
        <v>46040</v>
      </c>
    </row>
    <row r="22" spans="1:8">
      <c r="A22" t="s">
        <v>467</v>
      </c>
      <c r="B22" s="163">
        <f t="shared" si="2"/>
        <v>46041</v>
      </c>
      <c r="C22" s="163">
        <f t="shared" si="1"/>
        <v>46042</v>
      </c>
      <c r="D22" s="163">
        <f t="shared" si="1"/>
        <v>46043</v>
      </c>
      <c r="E22" s="163">
        <f t="shared" si="1"/>
        <v>46044</v>
      </c>
      <c r="F22" s="163">
        <f t="shared" si="1"/>
        <v>46045</v>
      </c>
      <c r="G22" s="163">
        <f t="shared" si="1"/>
        <v>46046</v>
      </c>
      <c r="H22" s="163">
        <f t="shared" si="1"/>
        <v>46047</v>
      </c>
    </row>
    <row r="23" spans="1:8">
      <c r="A23" t="s">
        <v>468</v>
      </c>
      <c r="B23" s="163">
        <f t="shared" si="2"/>
        <v>46048</v>
      </c>
      <c r="C23" s="163">
        <f t="shared" si="1"/>
        <v>46049</v>
      </c>
      <c r="D23" s="163">
        <f t="shared" si="1"/>
        <v>46050</v>
      </c>
      <c r="E23" s="163">
        <f t="shared" si="1"/>
        <v>46051</v>
      </c>
      <c r="F23" s="163">
        <f t="shared" si="1"/>
        <v>46052</v>
      </c>
      <c r="G23" s="163">
        <f t="shared" si="1"/>
        <v>46053</v>
      </c>
      <c r="H23" s="163">
        <f t="shared" si="1"/>
        <v>46054</v>
      </c>
    </row>
    <row r="24" spans="1:8">
      <c r="A24" t="s">
        <v>472</v>
      </c>
      <c r="B24" s="163">
        <f t="shared" si="2"/>
        <v>46055</v>
      </c>
      <c r="C24" s="163">
        <f t="shared" si="1"/>
        <v>46056</v>
      </c>
      <c r="D24" s="163">
        <f t="shared" si="1"/>
        <v>46057</v>
      </c>
      <c r="E24" s="163">
        <f t="shared" si="1"/>
        <v>46058</v>
      </c>
      <c r="F24" s="163">
        <f t="shared" si="1"/>
        <v>46059</v>
      </c>
      <c r="G24" s="163">
        <f t="shared" si="1"/>
        <v>46060</v>
      </c>
      <c r="H24" s="163">
        <f t="shared" si="1"/>
        <v>46061</v>
      </c>
    </row>
    <row r="25" spans="1:8">
      <c r="A25" t="s">
        <v>475</v>
      </c>
      <c r="B25" s="163">
        <f t="shared" si="2"/>
        <v>46062</v>
      </c>
      <c r="C25" s="163">
        <f t="shared" si="1"/>
        <v>46063</v>
      </c>
      <c r="D25" s="163">
        <f t="shared" si="1"/>
        <v>46064</v>
      </c>
      <c r="E25" s="163">
        <f t="shared" si="1"/>
        <v>46065</v>
      </c>
      <c r="F25" s="163">
        <f t="shared" si="1"/>
        <v>46066</v>
      </c>
      <c r="G25" s="163">
        <f t="shared" si="1"/>
        <v>46067</v>
      </c>
      <c r="H25" s="163">
        <f t="shared" si="1"/>
        <v>46068</v>
      </c>
    </row>
    <row r="26" spans="1:8">
      <c r="A26" t="s">
        <v>477</v>
      </c>
      <c r="B26" s="163">
        <f t="shared" si="2"/>
        <v>46069</v>
      </c>
      <c r="C26" s="163">
        <f t="shared" si="1"/>
        <v>46070</v>
      </c>
      <c r="D26" s="163">
        <f t="shared" si="1"/>
        <v>46071</v>
      </c>
      <c r="E26" s="163">
        <f t="shared" si="1"/>
        <v>46072</v>
      </c>
      <c r="F26" s="163">
        <f t="shared" si="1"/>
        <v>46073</v>
      </c>
      <c r="G26" s="163">
        <f t="shared" si="1"/>
        <v>46074</v>
      </c>
      <c r="H26" s="163">
        <f t="shared" si="1"/>
        <v>46075</v>
      </c>
    </row>
    <row r="27" spans="1:8">
      <c r="A27" t="s">
        <v>480</v>
      </c>
      <c r="B27" s="163">
        <f t="shared" si="2"/>
        <v>46076</v>
      </c>
      <c r="C27" s="163">
        <f t="shared" si="1"/>
        <v>46077</v>
      </c>
      <c r="D27" s="163">
        <f t="shared" si="1"/>
        <v>46078</v>
      </c>
      <c r="E27" s="163">
        <f t="shared" si="1"/>
        <v>46079</v>
      </c>
      <c r="F27" s="163">
        <f t="shared" si="1"/>
        <v>46080</v>
      </c>
      <c r="G27" s="163">
        <f t="shared" si="1"/>
        <v>46081</v>
      </c>
      <c r="H27" s="163">
        <f t="shared" si="1"/>
        <v>46082</v>
      </c>
    </row>
    <row r="28" spans="1:8">
      <c r="A28" t="s">
        <v>482</v>
      </c>
      <c r="B28" s="163">
        <f t="shared" si="2"/>
        <v>46083</v>
      </c>
      <c r="C28" s="163">
        <f t="shared" si="1"/>
        <v>46084</v>
      </c>
      <c r="D28" s="163">
        <f t="shared" si="1"/>
        <v>46085</v>
      </c>
      <c r="E28" s="163">
        <f t="shared" si="1"/>
        <v>46086</v>
      </c>
      <c r="F28" s="163">
        <f t="shared" si="1"/>
        <v>46087</v>
      </c>
      <c r="G28" s="163">
        <f t="shared" si="1"/>
        <v>46088</v>
      </c>
      <c r="H28" s="163">
        <f t="shared" si="1"/>
        <v>46089</v>
      </c>
    </row>
    <row r="29" spans="1:8">
      <c r="A29" t="s">
        <v>484</v>
      </c>
      <c r="B29" s="148">
        <f t="shared" si="2"/>
        <v>46090</v>
      </c>
      <c r="C29" s="148">
        <f t="shared" si="1"/>
        <v>46091</v>
      </c>
      <c r="D29" s="148">
        <f t="shared" si="1"/>
        <v>46092</v>
      </c>
      <c r="E29" s="148">
        <f t="shared" si="1"/>
        <v>46093</v>
      </c>
      <c r="F29" s="148">
        <f t="shared" si="1"/>
        <v>46094</v>
      </c>
      <c r="G29" s="148">
        <f t="shared" si="1"/>
        <v>46095</v>
      </c>
      <c r="H29" s="148">
        <f t="shared" si="1"/>
        <v>46096</v>
      </c>
    </row>
    <row r="30" spans="1:8">
      <c r="A30" t="s">
        <v>486</v>
      </c>
      <c r="B30" s="148">
        <f t="shared" si="2"/>
        <v>46097</v>
      </c>
      <c r="C30" s="148">
        <f t="shared" si="1"/>
        <v>46098</v>
      </c>
      <c r="D30" s="148">
        <f t="shared" si="1"/>
        <v>46099</v>
      </c>
      <c r="E30" s="148">
        <f t="shared" si="1"/>
        <v>46100</v>
      </c>
      <c r="F30" s="148">
        <f t="shared" si="1"/>
        <v>46101</v>
      </c>
      <c r="G30" s="148">
        <f t="shared" si="1"/>
        <v>46102</v>
      </c>
      <c r="H30" s="148">
        <f t="shared" si="1"/>
        <v>46103</v>
      </c>
    </row>
    <row r="31" spans="1:8">
      <c r="A31" t="s">
        <v>488</v>
      </c>
      <c r="B31" s="148">
        <f t="shared" si="2"/>
        <v>46104</v>
      </c>
      <c r="C31" s="148">
        <f t="shared" si="1"/>
        <v>46105</v>
      </c>
      <c r="D31" s="148">
        <f t="shared" si="1"/>
        <v>46106</v>
      </c>
      <c r="E31" s="148">
        <f t="shared" si="1"/>
        <v>46107</v>
      </c>
      <c r="F31" s="148">
        <f t="shared" si="1"/>
        <v>46108</v>
      </c>
      <c r="G31" s="148">
        <f t="shared" si="1"/>
        <v>46109</v>
      </c>
      <c r="H31" s="148">
        <f t="shared" si="1"/>
        <v>46110</v>
      </c>
    </row>
    <row r="32" spans="1:8">
      <c r="A32" t="s">
        <v>490</v>
      </c>
      <c r="B32" s="148">
        <f t="shared" si="2"/>
        <v>46111</v>
      </c>
      <c r="C32" s="148">
        <f t="shared" si="1"/>
        <v>46112</v>
      </c>
      <c r="D32" s="148">
        <f t="shared" si="1"/>
        <v>46113</v>
      </c>
      <c r="E32" s="148">
        <f t="shared" si="1"/>
        <v>46114</v>
      </c>
      <c r="F32" s="148">
        <f t="shared" si="1"/>
        <v>46115</v>
      </c>
      <c r="G32" s="148">
        <f t="shared" si="1"/>
        <v>46116</v>
      </c>
      <c r="H32" s="148">
        <f t="shared" si="1"/>
        <v>46117</v>
      </c>
    </row>
    <row r="33" spans="1:10">
      <c r="A33" t="s">
        <v>492</v>
      </c>
      <c r="B33" s="148">
        <f t="shared" si="2"/>
        <v>46118</v>
      </c>
      <c r="C33" s="148">
        <f t="shared" si="1"/>
        <v>46119</v>
      </c>
      <c r="D33" s="148">
        <f t="shared" si="1"/>
        <v>46120</v>
      </c>
      <c r="E33" s="148">
        <f t="shared" si="1"/>
        <v>46121</v>
      </c>
      <c r="F33" s="148">
        <f t="shared" si="1"/>
        <v>46122</v>
      </c>
      <c r="G33" s="148">
        <f t="shared" si="1"/>
        <v>46123</v>
      </c>
      <c r="H33" s="148">
        <f t="shared" si="1"/>
        <v>46124</v>
      </c>
    </row>
    <row r="34" spans="1:10">
      <c r="A34" t="s">
        <v>494</v>
      </c>
      <c r="B34" s="148">
        <f t="shared" si="2"/>
        <v>46125</v>
      </c>
      <c r="C34" s="148">
        <f t="shared" si="1"/>
        <v>46126</v>
      </c>
      <c r="D34" s="148">
        <f t="shared" si="1"/>
        <v>46127</v>
      </c>
      <c r="E34" s="148">
        <f t="shared" si="1"/>
        <v>46128</v>
      </c>
      <c r="F34" s="148">
        <f t="shared" si="1"/>
        <v>46129</v>
      </c>
      <c r="G34" s="148">
        <f t="shared" si="1"/>
        <v>46130</v>
      </c>
      <c r="H34" s="148">
        <f t="shared" si="1"/>
        <v>46131</v>
      </c>
    </row>
    <row r="35" spans="1:10">
      <c r="A35" t="s">
        <v>496</v>
      </c>
      <c r="B35" s="148">
        <f t="shared" si="2"/>
        <v>46132</v>
      </c>
      <c r="C35" s="148">
        <f t="shared" ref="C35:H58" si="4">B35+1</f>
        <v>46133</v>
      </c>
      <c r="D35" s="148">
        <f t="shared" si="4"/>
        <v>46134</v>
      </c>
      <c r="E35" s="148">
        <f t="shared" si="4"/>
        <v>46135</v>
      </c>
      <c r="F35" s="148">
        <f t="shared" si="4"/>
        <v>46136</v>
      </c>
      <c r="G35" s="148">
        <f t="shared" si="4"/>
        <v>46137</v>
      </c>
      <c r="H35" s="148">
        <f t="shared" si="4"/>
        <v>46138</v>
      </c>
    </row>
    <row r="36" spans="1:10">
      <c r="A36" t="s">
        <v>500</v>
      </c>
      <c r="B36" s="148">
        <f t="shared" si="2"/>
        <v>46139</v>
      </c>
      <c r="C36" s="148">
        <f t="shared" si="4"/>
        <v>46140</v>
      </c>
      <c r="D36" s="148">
        <f t="shared" si="4"/>
        <v>46141</v>
      </c>
      <c r="E36" s="148">
        <f t="shared" si="4"/>
        <v>46142</v>
      </c>
      <c r="F36" s="148">
        <f t="shared" si="4"/>
        <v>46143</v>
      </c>
      <c r="G36" s="148">
        <f t="shared" si="4"/>
        <v>46144</v>
      </c>
      <c r="H36" s="148">
        <f t="shared" si="4"/>
        <v>46145</v>
      </c>
    </row>
    <row r="37" spans="1:10">
      <c r="A37" t="s">
        <v>502</v>
      </c>
      <c r="B37" s="148">
        <f t="shared" si="2"/>
        <v>46146</v>
      </c>
      <c r="C37" s="148">
        <f t="shared" si="4"/>
        <v>46147</v>
      </c>
      <c r="D37" s="148">
        <f t="shared" si="4"/>
        <v>46148</v>
      </c>
      <c r="E37" s="148">
        <f t="shared" si="4"/>
        <v>46149</v>
      </c>
      <c r="F37" s="148">
        <f t="shared" si="4"/>
        <v>46150</v>
      </c>
      <c r="G37" s="148">
        <f t="shared" si="4"/>
        <v>46151</v>
      </c>
      <c r="H37" s="148">
        <f t="shared" si="4"/>
        <v>46152</v>
      </c>
      <c r="J37" s="174">
        <f>SUM(I:I)</f>
        <v>47</v>
      </c>
    </row>
    <row r="38" spans="1:10">
      <c r="A38" t="s">
        <v>503</v>
      </c>
      <c r="B38" s="148">
        <f t="shared" si="2"/>
        <v>46153</v>
      </c>
      <c r="C38" s="148">
        <f t="shared" si="4"/>
        <v>46154</v>
      </c>
      <c r="D38" s="148">
        <f t="shared" si="4"/>
        <v>46155</v>
      </c>
      <c r="E38" s="148">
        <f t="shared" si="4"/>
        <v>46156</v>
      </c>
      <c r="F38" s="148">
        <f t="shared" si="4"/>
        <v>46157</v>
      </c>
      <c r="G38" s="148">
        <f t="shared" si="4"/>
        <v>46158</v>
      </c>
      <c r="H38" s="148">
        <f t="shared" si="4"/>
        <v>46159</v>
      </c>
    </row>
    <row r="39" spans="1:10">
      <c r="A39" t="s">
        <v>504</v>
      </c>
      <c r="B39" s="173">
        <f t="shared" si="2"/>
        <v>46160</v>
      </c>
      <c r="C39" s="173">
        <f t="shared" si="4"/>
        <v>46161</v>
      </c>
      <c r="D39" s="173">
        <f t="shared" si="4"/>
        <v>46162</v>
      </c>
      <c r="E39" s="173">
        <f t="shared" si="4"/>
        <v>46163</v>
      </c>
      <c r="F39" s="173">
        <f t="shared" si="4"/>
        <v>46164</v>
      </c>
      <c r="G39" s="21">
        <f t="shared" si="4"/>
        <v>46165</v>
      </c>
      <c r="H39" s="21">
        <f t="shared" si="4"/>
        <v>46166</v>
      </c>
      <c r="I39">
        <v>5</v>
      </c>
    </row>
    <row r="40" spans="1:10">
      <c r="A40" t="s">
        <v>509</v>
      </c>
      <c r="B40" s="172">
        <f t="shared" si="2"/>
        <v>46167</v>
      </c>
      <c r="C40" s="173">
        <f t="shared" si="4"/>
        <v>46168</v>
      </c>
      <c r="D40" s="173">
        <f t="shared" si="4"/>
        <v>46169</v>
      </c>
      <c r="E40" s="173">
        <f t="shared" si="4"/>
        <v>46170</v>
      </c>
      <c r="F40" s="173">
        <f t="shared" si="4"/>
        <v>46171</v>
      </c>
      <c r="G40" s="21">
        <f t="shared" si="4"/>
        <v>46172</v>
      </c>
      <c r="H40" s="21">
        <f t="shared" si="4"/>
        <v>46173</v>
      </c>
      <c r="I40">
        <v>4</v>
      </c>
    </row>
    <row r="41" spans="1:10">
      <c r="A41" t="s">
        <v>513</v>
      </c>
      <c r="B41" s="173">
        <f t="shared" si="2"/>
        <v>46174</v>
      </c>
      <c r="C41" s="21">
        <f t="shared" si="4"/>
        <v>46175</v>
      </c>
      <c r="D41" s="21">
        <f t="shared" si="4"/>
        <v>46176</v>
      </c>
      <c r="E41" s="21">
        <f t="shared" si="4"/>
        <v>46177</v>
      </c>
      <c r="F41" s="173">
        <f t="shared" si="4"/>
        <v>46178</v>
      </c>
      <c r="G41" s="21">
        <f t="shared" si="4"/>
        <v>46179</v>
      </c>
      <c r="H41" s="21">
        <f t="shared" si="4"/>
        <v>46180</v>
      </c>
      <c r="I41">
        <v>2</v>
      </c>
    </row>
    <row r="42" spans="1:10">
      <c r="A42" t="s">
        <v>516</v>
      </c>
      <c r="B42" s="173">
        <f t="shared" si="2"/>
        <v>46181</v>
      </c>
      <c r="C42" s="21">
        <f t="shared" si="4"/>
        <v>46182</v>
      </c>
      <c r="D42" s="21">
        <f t="shared" si="4"/>
        <v>46183</v>
      </c>
      <c r="E42" s="21">
        <f t="shared" si="4"/>
        <v>46184</v>
      </c>
      <c r="F42" s="173">
        <f t="shared" si="4"/>
        <v>46185</v>
      </c>
      <c r="G42" s="21">
        <f t="shared" si="4"/>
        <v>46186</v>
      </c>
      <c r="H42" s="21">
        <f t="shared" si="4"/>
        <v>46187</v>
      </c>
      <c r="I42">
        <v>2</v>
      </c>
    </row>
    <row r="43" spans="1:10">
      <c r="A43" t="s">
        <v>1074</v>
      </c>
      <c r="B43" s="173">
        <f t="shared" si="2"/>
        <v>46188</v>
      </c>
      <c r="C43" s="21">
        <f t="shared" si="4"/>
        <v>46189</v>
      </c>
      <c r="D43" s="21">
        <f t="shared" si="4"/>
        <v>46190</v>
      </c>
      <c r="E43" s="21">
        <f t="shared" si="4"/>
        <v>46191</v>
      </c>
      <c r="F43" s="173">
        <f t="shared" si="4"/>
        <v>46192</v>
      </c>
      <c r="G43" s="21">
        <f t="shared" si="4"/>
        <v>46193</v>
      </c>
      <c r="H43" s="21">
        <f t="shared" si="4"/>
        <v>46194</v>
      </c>
      <c r="I43">
        <v>2</v>
      </c>
    </row>
    <row r="44" spans="1:10">
      <c r="A44" t="s">
        <v>1075</v>
      </c>
      <c r="B44" s="21">
        <f t="shared" si="2"/>
        <v>46195</v>
      </c>
      <c r="C44" s="21">
        <f t="shared" si="4"/>
        <v>46196</v>
      </c>
      <c r="D44" s="21">
        <f t="shared" si="4"/>
        <v>46197</v>
      </c>
      <c r="E44" s="21">
        <f t="shared" si="4"/>
        <v>46198</v>
      </c>
      <c r="F44" s="173">
        <f t="shared" si="4"/>
        <v>46199</v>
      </c>
      <c r="G44" s="21">
        <f t="shared" si="4"/>
        <v>46200</v>
      </c>
      <c r="H44" s="21">
        <f t="shared" si="4"/>
        <v>46201</v>
      </c>
      <c r="I44">
        <v>1</v>
      </c>
    </row>
    <row r="45" spans="1:10">
      <c r="A45" t="s">
        <v>1076</v>
      </c>
      <c r="B45" s="173">
        <f t="shared" si="2"/>
        <v>46202</v>
      </c>
      <c r="C45" s="21">
        <f t="shared" si="4"/>
        <v>46203</v>
      </c>
      <c r="D45" s="21">
        <f t="shared" si="4"/>
        <v>46204</v>
      </c>
      <c r="E45" s="21">
        <f t="shared" si="4"/>
        <v>46205</v>
      </c>
      <c r="F45" s="173">
        <f t="shared" si="4"/>
        <v>46206</v>
      </c>
      <c r="G45" s="21">
        <f t="shared" si="4"/>
        <v>46207</v>
      </c>
      <c r="H45" s="21">
        <f t="shared" si="4"/>
        <v>46208</v>
      </c>
      <c r="I45">
        <v>2</v>
      </c>
    </row>
    <row r="46" spans="1:10">
      <c r="A46" t="s">
        <v>1077</v>
      </c>
      <c r="B46" s="173">
        <f t="shared" si="2"/>
        <v>46209</v>
      </c>
      <c r="C46" s="21">
        <f t="shared" si="4"/>
        <v>46210</v>
      </c>
      <c r="D46" s="179">
        <f t="shared" si="4"/>
        <v>46211</v>
      </c>
      <c r="E46" s="21">
        <f t="shared" si="4"/>
        <v>46212</v>
      </c>
      <c r="F46" s="173">
        <f t="shared" si="4"/>
        <v>46213</v>
      </c>
      <c r="G46" s="21">
        <f t="shared" si="4"/>
        <v>46214</v>
      </c>
      <c r="H46" s="21">
        <f t="shared" si="4"/>
        <v>46215</v>
      </c>
      <c r="I46">
        <v>2</v>
      </c>
    </row>
    <row r="47" spans="1:10">
      <c r="A47" t="s">
        <v>1078</v>
      </c>
      <c r="B47" s="173">
        <f t="shared" si="2"/>
        <v>46216</v>
      </c>
      <c r="C47" s="21">
        <f t="shared" si="4"/>
        <v>46217</v>
      </c>
      <c r="D47" s="21">
        <f t="shared" si="4"/>
        <v>46218</v>
      </c>
      <c r="E47" s="21">
        <f t="shared" si="4"/>
        <v>46219</v>
      </c>
      <c r="F47" s="173">
        <f t="shared" si="4"/>
        <v>46220</v>
      </c>
      <c r="G47" s="21">
        <f t="shared" si="4"/>
        <v>46221</v>
      </c>
      <c r="H47" s="21">
        <f t="shared" si="4"/>
        <v>46222</v>
      </c>
      <c r="I47">
        <v>2</v>
      </c>
    </row>
    <row r="48" spans="1:10">
      <c r="A48" t="s">
        <v>1079</v>
      </c>
      <c r="B48" s="173">
        <f t="shared" si="2"/>
        <v>46223</v>
      </c>
      <c r="C48" s="21">
        <f t="shared" si="4"/>
        <v>46224</v>
      </c>
      <c r="D48" s="21">
        <f t="shared" si="4"/>
        <v>46225</v>
      </c>
      <c r="E48" s="21">
        <f t="shared" si="4"/>
        <v>46226</v>
      </c>
      <c r="F48" s="173">
        <f t="shared" si="4"/>
        <v>46227</v>
      </c>
      <c r="G48" s="21">
        <f t="shared" si="4"/>
        <v>46228</v>
      </c>
      <c r="H48" s="21">
        <f t="shared" si="4"/>
        <v>46229</v>
      </c>
      <c r="I48">
        <v>2</v>
      </c>
    </row>
    <row r="49" spans="1:9">
      <c r="A49" t="s">
        <v>1080</v>
      </c>
      <c r="B49" s="173">
        <f t="shared" si="2"/>
        <v>46230</v>
      </c>
      <c r="C49" s="21">
        <f t="shared" si="4"/>
        <v>46231</v>
      </c>
      <c r="D49" s="21">
        <f t="shared" si="4"/>
        <v>46232</v>
      </c>
      <c r="E49" s="21">
        <f t="shared" si="4"/>
        <v>46233</v>
      </c>
      <c r="F49" s="173">
        <f t="shared" si="4"/>
        <v>46234</v>
      </c>
      <c r="G49" s="21">
        <f t="shared" si="4"/>
        <v>46235</v>
      </c>
      <c r="H49" s="21">
        <f t="shared" si="4"/>
        <v>46236</v>
      </c>
      <c r="I49">
        <v>2</v>
      </c>
    </row>
    <row r="50" spans="1:9">
      <c r="A50" t="s">
        <v>1081</v>
      </c>
      <c r="B50" s="173">
        <f t="shared" si="2"/>
        <v>46237</v>
      </c>
      <c r="C50" s="21">
        <f t="shared" si="4"/>
        <v>46238</v>
      </c>
      <c r="D50" s="21">
        <f t="shared" si="4"/>
        <v>46239</v>
      </c>
      <c r="E50" s="21">
        <f t="shared" si="4"/>
        <v>46240</v>
      </c>
      <c r="F50" s="173">
        <f t="shared" si="4"/>
        <v>46241</v>
      </c>
      <c r="G50" s="21">
        <f t="shared" si="4"/>
        <v>46242</v>
      </c>
      <c r="H50" s="21">
        <f t="shared" si="4"/>
        <v>46243</v>
      </c>
      <c r="I50">
        <v>2</v>
      </c>
    </row>
    <row r="51" spans="1:9">
      <c r="A51" t="s">
        <v>1082</v>
      </c>
      <c r="B51" s="21">
        <f t="shared" si="2"/>
        <v>46244</v>
      </c>
      <c r="C51" s="21">
        <f t="shared" si="4"/>
        <v>46245</v>
      </c>
      <c r="D51" s="21">
        <f t="shared" si="4"/>
        <v>46246</v>
      </c>
      <c r="E51" s="21">
        <f t="shared" si="4"/>
        <v>46247</v>
      </c>
      <c r="F51" s="173">
        <f t="shared" si="4"/>
        <v>46248</v>
      </c>
      <c r="G51" s="21">
        <f t="shared" si="4"/>
        <v>46249</v>
      </c>
      <c r="H51" s="21">
        <f t="shared" si="4"/>
        <v>46250</v>
      </c>
      <c r="I51">
        <v>1</v>
      </c>
    </row>
    <row r="52" spans="1:9">
      <c r="A52" t="s">
        <v>1083</v>
      </c>
      <c r="B52" s="176">
        <f t="shared" si="2"/>
        <v>46251</v>
      </c>
      <c r="C52" s="21">
        <f t="shared" si="4"/>
        <v>46252</v>
      </c>
      <c r="D52" s="21">
        <f t="shared" si="4"/>
        <v>46253</v>
      </c>
      <c r="E52" s="21">
        <f t="shared" si="4"/>
        <v>46254</v>
      </c>
      <c r="F52" s="173">
        <f t="shared" si="4"/>
        <v>46255</v>
      </c>
      <c r="G52" s="21">
        <f t="shared" si="4"/>
        <v>46256</v>
      </c>
      <c r="H52" s="21">
        <f t="shared" si="4"/>
        <v>46257</v>
      </c>
      <c r="I52">
        <v>1</v>
      </c>
    </row>
    <row r="53" spans="1:9">
      <c r="A53" t="s">
        <v>1084</v>
      </c>
      <c r="B53" s="21">
        <f t="shared" si="2"/>
        <v>46258</v>
      </c>
      <c r="C53" s="21">
        <f t="shared" si="4"/>
        <v>46259</v>
      </c>
      <c r="D53" s="21">
        <f t="shared" si="4"/>
        <v>46260</v>
      </c>
      <c r="E53" s="21">
        <f t="shared" si="4"/>
        <v>46261</v>
      </c>
      <c r="F53" s="173">
        <f t="shared" si="4"/>
        <v>46262</v>
      </c>
      <c r="G53" s="21">
        <f t="shared" si="4"/>
        <v>46263</v>
      </c>
      <c r="H53" s="21">
        <f t="shared" si="4"/>
        <v>46264</v>
      </c>
      <c r="I53">
        <v>1</v>
      </c>
    </row>
    <row r="54" spans="1:9">
      <c r="A54" t="s">
        <v>1089</v>
      </c>
      <c r="B54" s="172">
        <f t="shared" si="2"/>
        <v>46265</v>
      </c>
      <c r="C54" s="173">
        <f t="shared" si="4"/>
        <v>46266</v>
      </c>
      <c r="D54" s="175">
        <f t="shared" si="4"/>
        <v>46267</v>
      </c>
      <c r="E54" s="173">
        <f t="shared" si="4"/>
        <v>46268</v>
      </c>
      <c r="F54" s="173">
        <f t="shared" si="4"/>
        <v>46269</v>
      </c>
      <c r="G54" s="21">
        <f t="shared" si="4"/>
        <v>46270</v>
      </c>
      <c r="H54" s="21">
        <f t="shared" si="4"/>
        <v>46271</v>
      </c>
      <c r="I54">
        <v>4</v>
      </c>
    </row>
    <row r="55" spans="1:9">
      <c r="A55" t="s">
        <v>1090</v>
      </c>
      <c r="B55" s="173">
        <f t="shared" si="2"/>
        <v>46272</v>
      </c>
      <c r="C55" s="173">
        <f t="shared" si="4"/>
        <v>46273</v>
      </c>
      <c r="D55" s="175">
        <f t="shared" si="4"/>
        <v>46274</v>
      </c>
      <c r="E55" s="173">
        <f t="shared" si="4"/>
        <v>46275</v>
      </c>
      <c r="F55" s="173">
        <f t="shared" si="4"/>
        <v>46276</v>
      </c>
      <c r="G55" s="21">
        <f t="shared" si="4"/>
        <v>46277</v>
      </c>
      <c r="H55" s="21">
        <f t="shared" si="4"/>
        <v>46278</v>
      </c>
      <c r="I55">
        <v>5</v>
      </c>
    </row>
    <row r="56" spans="1:9">
      <c r="A56" t="s">
        <v>1091</v>
      </c>
      <c r="B56" s="21">
        <f t="shared" si="2"/>
        <v>46279</v>
      </c>
      <c r="C56" s="21">
        <f t="shared" si="4"/>
        <v>46280</v>
      </c>
      <c r="D56" s="176">
        <f t="shared" si="4"/>
        <v>46281</v>
      </c>
      <c r="E56" s="21">
        <f t="shared" si="4"/>
        <v>46282</v>
      </c>
      <c r="F56" s="21">
        <f t="shared" si="4"/>
        <v>46283</v>
      </c>
      <c r="G56" s="21">
        <f t="shared" si="4"/>
        <v>46284</v>
      </c>
      <c r="H56" s="21">
        <f t="shared" si="4"/>
        <v>46285</v>
      </c>
    </row>
    <row r="57" spans="1:9">
      <c r="A57" t="s">
        <v>1092</v>
      </c>
      <c r="B57" s="21">
        <f t="shared" si="2"/>
        <v>46286</v>
      </c>
      <c r="C57" s="21">
        <f t="shared" si="4"/>
        <v>46287</v>
      </c>
      <c r="D57" s="176">
        <f t="shared" si="4"/>
        <v>46288</v>
      </c>
      <c r="E57" s="21">
        <f t="shared" si="4"/>
        <v>46289</v>
      </c>
      <c r="F57" s="21">
        <f t="shared" si="4"/>
        <v>46290</v>
      </c>
      <c r="G57" s="21">
        <f t="shared" si="4"/>
        <v>46291</v>
      </c>
      <c r="H57" s="21">
        <f t="shared" si="4"/>
        <v>46292</v>
      </c>
    </row>
    <row r="58" spans="1:9">
      <c r="A58" t="s">
        <v>1093</v>
      </c>
      <c r="B58" s="21">
        <f t="shared" si="2"/>
        <v>46293</v>
      </c>
      <c r="C58" s="21">
        <f t="shared" si="4"/>
        <v>46294</v>
      </c>
      <c r="D58" s="176">
        <f t="shared" si="4"/>
        <v>46295</v>
      </c>
      <c r="E58" s="21">
        <f t="shared" si="4"/>
        <v>46296</v>
      </c>
      <c r="F58" s="21">
        <f t="shared" si="4"/>
        <v>46297</v>
      </c>
      <c r="G58" s="21">
        <f t="shared" si="4"/>
        <v>46298</v>
      </c>
      <c r="H58" s="21">
        <f t="shared" si="4"/>
        <v>46299</v>
      </c>
    </row>
    <row r="59" spans="1:9">
      <c r="A59" t="s">
        <v>1094</v>
      </c>
      <c r="B59" s="21">
        <f t="shared" si="2"/>
        <v>46300</v>
      </c>
      <c r="C59" s="21">
        <f t="shared" ref="C59:H71" si="5">B59+1</f>
        <v>46301</v>
      </c>
      <c r="D59" s="176">
        <f t="shared" si="5"/>
        <v>46302</v>
      </c>
      <c r="E59" s="21">
        <f t="shared" si="5"/>
        <v>46303</v>
      </c>
      <c r="F59" s="21">
        <f t="shared" si="5"/>
        <v>46304</v>
      </c>
      <c r="G59" s="21">
        <f t="shared" si="5"/>
        <v>46305</v>
      </c>
      <c r="H59" s="21">
        <f t="shared" si="5"/>
        <v>46306</v>
      </c>
    </row>
    <row r="60" spans="1:9">
      <c r="A60" t="s">
        <v>1095</v>
      </c>
      <c r="B60" s="21">
        <f t="shared" si="2"/>
        <v>46307</v>
      </c>
      <c r="C60" s="21">
        <f t="shared" si="5"/>
        <v>46308</v>
      </c>
      <c r="D60" s="176">
        <f t="shared" si="5"/>
        <v>46309</v>
      </c>
      <c r="E60" s="21">
        <f t="shared" si="5"/>
        <v>46310</v>
      </c>
      <c r="F60" s="21">
        <f t="shared" si="5"/>
        <v>46311</v>
      </c>
      <c r="G60" s="21">
        <f t="shared" si="5"/>
        <v>46312</v>
      </c>
      <c r="H60" s="21">
        <f t="shared" si="5"/>
        <v>46313</v>
      </c>
    </row>
    <row r="61" spans="1:9">
      <c r="A61" t="s">
        <v>1096</v>
      </c>
      <c r="B61" s="21">
        <f t="shared" si="2"/>
        <v>46314</v>
      </c>
      <c r="C61" s="21">
        <f t="shared" si="5"/>
        <v>46315</v>
      </c>
      <c r="D61" s="176">
        <f t="shared" si="5"/>
        <v>46316</v>
      </c>
      <c r="E61" s="21">
        <f t="shared" si="5"/>
        <v>46317</v>
      </c>
      <c r="F61" s="21">
        <f t="shared" si="5"/>
        <v>46318</v>
      </c>
      <c r="G61" s="21">
        <f t="shared" si="5"/>
        <v>46319</v>
      </c>
      <c r="H61" s="21">
        <f t="shared" si="5"/>
        <v>46320</v>
      </c>
    </row>
    <row r="62" spans="1:9">
      <c r="A62" t="s">
        <v>1097</v>
      </c>
      <c r="B62" s="21">
        <f t="shared" si="2"/>
        <v>46321</v>
      </c>
      <c r="C62" s="21">
        <f t="shared" si="5"/>
        <v>46322</v>
      </c>
      <c r="D62" s="176">
        <f t="shared" si="5"/>
        <v>46323</v>
      </c>
      <c r="E62" s="21">
        <f t="shared" si="5"/>
        <v>46324</v>
      </c>
      <c r="F62" s="21">
        <f t="shared" si="5"/>
        <v>46325</v>
      </c>
      <c r="G62" s="21">
        <f t="shared" si="5"/>
        <v>46326</v>
      </c>
      <c r="H62" s="21">
        <f t="shared" si="5"/>
        <v>46327</v>
      </c>
    </row>
    <row r="63" spans="1:9">
      <c r="A63" t="s">
        <v>1098</v>
      </c>
      <c r="B63" s="21">
        <f t="shared" si="2"/>
        <v>46328</v>
      </c>
      <c r="C63" s="21">
        <f t="shared" si="5"/>
        <v>46329</v>
      </c>
      <c r="D63" s="176">
        <f t="shared" si="5"/>
        <v>46330</v>
      </c>
      <c r="E63" s="21">
        <f t="shared" si="5"/>
        <v>46331</v>
      </c>
      <c r="F63" s="21">
        <f t="shared" si="5"/>
        <v>46332</v>
      </c>
      <c r="G63" s="21">
        <f t="shared" si="5"/>
        <v>46333</v>
      </c>
      <c r="H63" s="21">
        <f t="shared" si="5"/>
        <v>46334</v>
      </c>
    </row>
    <row r="64" spans="1:9">
      <c r="A64" t="s">
        <v>1099</v>
      </c>
      <c r="B64" s="21">
        <f t="shared" si="2"/>
        <v>46335</v>
      </c>
      <c r="C64" s="21">
        <f t="shared" si="5"/>
        <v>46336</v>
      </c>
      <c r="D64" s="176">
        <f t="shared" si="5"/>
        <v>46337</v>
      </c>
      <c r="E64" s="21">
        <f t="shared" si="5"/>
        <v>46338</v>
      </c>
      <c r="F64" s="21">
        <f t="shared" si="5"/>
        <v>46339</v>
      </c>
      <c r="G64" s="21">
        <f t="shared" si="5"/>
        <v>46340</v>
      </c>
      <c r="H64" s="21">
        <f t="shared" si="5"/>
        <v>46341</v>
      </c>
    </row>
    <row r="65" spans="1:9">
      <c r="A65" t="s">
        <v>1100</v>
      </c>
      <c r="B65" s="21">
        <f t="shared" si="2"/>
        <v>46342</v>
      </c>
      <c r="C65" s="21">
        <f t="shared" si="5"/>
        <v>46343</v>
      </c>
      <c r="D65" s="176">
        <f t="shared" si="5"/>
        <v>46344</v>
      </c>
      <c r="E65" s="21">
        <f t="shared" si="5"/>
        <v>46345</v>
      </c>
      <c r="F65" s="21">
        <f t="shared" si="5"/>
        <v>46346</v>
      </c>
      <c r="G65" s="21">
        <f t="shared" si="5"/>
        <v>46347</v>
      </c>
      <c r="H65" s="21">
        <f t="shared" si="5"/>
        <v>46348</v>
      </c>
    </row>
    <row r="66" spans="1:9">
      <c r="A66" t="s">
        <v>1101</v>
      </c>
      <c r="B66" s="21">
        <f t="shared" si="2"/>
        <v>46349</v>
      </c>
      <c r="C66" s="21">
        <f t="shared" si="5"/>
        <v>46350</v>
      </c>
      <c r="D66" s="176">
        <f t="shared" si="5"/>
        <v>46351</v>
      </c>
      <c r="E66" s="21">
        <f t="shared" si="5"/>
        <v>46352</v>
      </c>
      <c r="F66" s="21">
        <f t="shared" si="5"/>
        <v>46353</v>
      </c>
      <c r="G66" s="21">
        <f t="shared" si="5"/>
        <v>46354</v>
      </c>
      <c r="H66" s="21">
        <f t="shared" si="5"/>
        <v>46355</v>
      </c>
    </row>
    <row r="67" spans="1:9">
      <c r="A67" t="s">
        <v>1102</v>
      </c>
      <c r="B67" s="21">
        <f t="shared" si="2"/>
        <v>46356</v>
      </c>
      <c r="C67" s="21">
        <f t="shared" si="5"/>
        <v>46357</v>
      </c>
      <c r="D67" s="176">
        <f t="shared" si="5"/>
        <v>46358</v>
      </c>
      <c r="E67" s="21">
        <f t="shared" si="5"/>
        <v>46359</v>
      </c>
      <c r="F67" s="21">
        <f t="shared" si="5"/>
        <v>46360</v>
      </c>
      <c r="G67" s="21">
        <f t="shared" si="5"/>
        <v>46361</v>
      </c>
      <c r="H67" s="21">
        <f t="shared" si="5"/>
        <v>46362</v>
      </c>
    </row>
    <row r="68" spans="1:9">
      <c r="A68" t="s">
        <v>1103</v>
      </c>
      <c r="B68" s="21">
        <f t="shared" si="2"/>
        <v>46363</v>
      </c>
      <c r="C68" s="21">
        <f t="shared" si="5"/>
        <v>46364</v>
      </c>
      <c r="D68" s="176">
        <f t="shared" si="5"/>
        <v>46365</v>
      </c>
      <c r="E68" s="21">
        <f t="shared" si="5"/>
        <v>46366</v>
      </c>
      <c r="F68" s="21">
        <f t="shared" si="5"/>
        <v>46367</v>
      </c>
      <c r="G68" s="21">
        <f t="shared" si="5"/>
        <v>46368</v>
      </c>
      <c r="H68" s="21">
        <f t="shared" si="5"/>
        <v>46369</v>
      </c>
    </row>
    <row r="69" spans="1:9">
      <c r="A69" t="s">
        <v>1104</v>
      </c>
      <c r="B69" s="21">
        <f t="shared" ref="B69:B71" si="6">B68+7</f>
        <v>46370</v>
      </c>
      <c r="C69" s="21">
        <f t="shared" si="5"/>
        <v>46371</v>
      </c>
      <c r="D69" s="176">
        <f t="shared" si="5"/>
        <v>46372</v>
      </c>
      <c r="E69" s="21">
        <f t="shared" si="5"/>
        <v>46373</v>
      </c>
      <c r="F69" s="21">
        <f t="shared" si="5"/>
        <v>46374</v>
      </c>
      <c r="G69" s="21">
        <f t="shared" si="5"/>
        <v>46375</v>
      </c>
      <c r="H69" s="21">
        <f t="shared" si="5"/>
        <v>46376</v>
      </c>
    </row>
    <row r="70" spans="1:9">
      <c r="A70" t="s">
        <v>1105</v>
      </c>
      <c r="B70" s="173">
        <f t="shared" si="6"/>
        <v>46377</v>
      </c>
      <c r="C70" s="173">
        <f t="shared" si="5"/>
        <v>46378</v>
      </c>
      <c r="D70" s="175">
        <f t="shared" si="5"/>
        <v>46379</v>
      </c>
      <c r="E70" s="173">
        <f t="shared" si="5"/>
        <v>46380</v>
      </c>
      <c r="F70" s="172">
        <f t="shared" si="5"/>
        <v>46381</v>
      </c>
      <c r="G70" s="21">
        <f t="shared" si="5"/>
        <v>46382</v>
      </c>
      <c r="H70" s="21">
        <f t="shared" si="5"/>
        <v>46383</v>
      </c>
      <c r="I70">
        <v>4</v>
      </c>
    </row>
    <row r="71" spans="1:9">
      <c r="A71" t="s">
        <v>1169</v>
      </c>
      <c r="B71" s="172">
        <f t="shared" si="6"/>
        <v>46384</v>
      </c>
      <c r="C71" s="173">
        <f t="shared" si="5"/>
        <v>46385</v>
      </c>
      <c r="D71" s="175">
        <f t="shared" si="5"/>
        <v>46386</v>
      </c>
      <c r="E71" s="173">
        <f t="shared" si="5"/>
        <v>46387</v>
      </c>
      <c r="F71" s="172">
        <f t="shared" si="5"/>
        <v>46388</v>
      </c>
      <c r="G71" s="21">
        <f t="shared" si="5"/>
        <v>46389</v>
      </c>
      <c r="H71" s="21">
        <f t="shared" si="5"/>
        <v>46390</v>
      </c>
      <c r="I71">
        <v>3</v>
      </c>
    </row>
  </sheetData>
  <phoneticPr fontId="2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4E9CD-1029-4F70-B4E0-6382A4242EA0}">
  <dimension ref="A1:F26"/>
  <sheetViews>
    <sheetView topLeftCell="A10" workbookViewId="0">
      <selection activeCell="F28" sqref="F28"/>
    </sheetView>
  </sheetViews>
  <sheetFormatPr defaultRowHeight="14.4"/>
  <cols>
    <col min="4" max="4" width="13.44140625" customWidth="1"/>
  </cols>
  <sheetData>
    <row r="1" spans="1:3">
      <c r="B1" t="s">
        <v>544</v>
      </c>
      <c r="C1" t="s">
        <v>545</v>
      </c>
    </row>
    <row r="2" spans="1:3">
      <c r="A2" t="s">
        <v>546</v>
      </c>
      <c r="B2">
        <v>1</v>
      </c>
    </row>
    <row r="3" spans="1:3">
      <c r="A3" t="s">
        <v>547</v>
      </c>
      <c r="B3">
        <v>1</v>
      </c>
    </row>
    <row r="4" spans="1:3">
      <c r="A4" t="s">
        <v>548</v>
      </c>
      <c r="B4">
        <v>1</v>
      </c>
    </row>
    <row r="5" spans="1:3">
      <c r="A5" t="s">
        <v>549</v>
      </c>
      <c r="B5">
        <v>1</v>
      </c>
    </row>
    <row r="6" spans="1:3">
      <c r="A6" t="s">
        <v>550</v>
      </c>
      <c r="B6">
        <v>1</v>
      </c>
    </row>
    <row r="7" spans="1:3">
      <c r="A7" t="s">
        <v>551</v>
      </c>
      <c r="B7">
        <v>1</v>
      </c>
    </row>
    <row r="8" spans="1:3">
      <c r="A8" t="s">
        <v>552</v>
      </c>
      <c r="B8">
        <v>1</v>
      </c>
    </row>
    <row r="9" spans="1:3">
      <c r="A9" t="s">
        <v>553</v>
      </c>
      <c r="B9">
        <v>1</v>
      </c>
    </row>
    <row r="10" spans="1:3">
      <c r="A10" t="s">
        <v>554</v>
      </c>
      <c r="B10">
        <v>1</v>
      </c>
    </row>
    <row r="11" spans="1:3">
      <c r="A11" t="s">
        <v>555</v>
      </c>
      <c r="B11">
        <v>1</v>
      </c>
    </row>
    <row r="12" spans="1:3">
      <c r="A12" t="s">
        <v>556</v>
      </c>
      <c r="B12">
        <v>1</v>
      </c>
    </row>
    <row r="13" spans="1:3">
      <c r="A13" t="s">
        <v>557</v>
      </c>
      <c r="B13">
        <v>1</v>
      </c>
    </row>
    <row r="14" spans="1:3">
      <c r="A14" t="s">
        <v>558</v>
      </c>
      <c r="B14">
        <v>1</v>
      </c>
    </row>
    <row r="15" spans="1:3">
      <c r="A15" t="s">
        <v>559</v>
      </c>
      <c r="B15">
        <v>1</v>
      </c>
    </row>
    <row r="16" spans="1:3">
      <c r="A16" t="s">
        <v>560</v>
      </c>
      <c r="B16">
        <v>1</v>
      </c>
    </row>
    <row r="17" spans="1:6">
      <c r="A17" t="s">
        <v>561</v>
      </c>
      <c r="B17">
        <v>1</v>
      </c>
    </row>
    <row r="18" spans="1:6">
      <c r="A18" t="s">
        <v>562</v>
      </c>
      <c r="B18">
        <v>1</v>
      </c>
    </row>
    <row r="19" spans="1:6">
      <c r="A19" t="s">
        <v>563</v>
      </c>
      <c r="B19">
        <v>1</v>
      </c>
    </row>
    <row r="20" spans="1:6">
      <c r="A20" t="s">
        <v>564</v>
      </c>
      <c r="B20">
        <v>1</v>
      </c>
    </row>
    <row r="21" spans="1:6">
      <c r="B21">
        <f>SUM(B2:B20)</f>
        <v>19</v>
      </c>
    </row>
    <row r="22" spans="1:6">
      <c r="E22">
        <f>SUM(E23:E25)</f>
        <v>1470</v>
      </c>
    </row>
    <row r="23" spans="1:6">
      <c r="D23" t="s">
        <v>565</v>
      </c>
      <c r="E23">
        <v>775</v>
      </c>
      <c r="F23" t="s">
        <v>566</v>
      </c>
    </row>
    <row r="24" spans="1:6">
      <c r="D24" t="s">
        <v>567</v>
      </c>
      <c r="E24">
        <v>95</v>
      </c>
    </row>
    <row r="25" spans="1:6">
      <c r="D25" t="s">
        <v>568</v>
      </c>
      <c r="E25">
        <v>600</v>
      </c>
    </row>
    <row r="26" spans="1:6">
      <c r="D26" t="s">
        <v>1136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08518-7FAF-4315-9961-60BE5FE3ADBD}">
  <dimension ref="A1:E44"/>
  <sheetViews>
    <sheetView workbookViewId="0">
      <selection activeCell="D4" sqref="D4"/>
    </sheetView>
  </sheetViews>
  <sheetFormatPr defaultRowHeight="14.4"/>
  <cols>
    <col min="1" max="1" width="13.109375" bestFit="1" customWidth="1"/>
    <col min="2" max="2" width="11.5546875" bestFit="1" customWidth="1"/>
    <col min="4" max="4" width="18.44140625" bestFit="1" customWidth="1"/>
  </cols>
  <sheetData>
    <row r="1" spans="1:5">
      <c r="A1" s="40" t="s">
        <v>569</v>
      </c>
      <c r="B1" s="40" t="s">
        <v>570</v>
      </c>
      <c r="C1" s="40" t="s">
        <v>571</v>
      </c>
      <c r="D1" s="40" t="s">
        <v>572</v>
      </c>
      <c r="E1" s="40" t="s">
        <v>573</v>
      </c>
    </row>
    <row r="2" spans="1:5">
      <c r="A2" t="s">
        <v>574</v>
      </c>
      <c r="B2" t="s">
        <v>575</v>
      </c>
      <c r="C2" t="s">
        <v>576</v>
      </c>
      <c r="E2" t="s">
        <v>577</v>
      </c>
    </row>
    <row r="3" spans="1:5" ht="15" thickBot="1">
      <c r="A3" s="130" t="s">
        <v>578</v>
      </c>
      <c r="B3" t="s">
        <v>579</v>
      </c>
      <c r="C3" t="s">
        <v>580</v>
      </c>
      <c r="D3" s="130" t="s">
        <v>581</v>
      </c>
      <c r="E3" t="s">
        <v>577</v>
      </c>
    </row>
    <row r="4" spans="1:5" ht="34.799999999999997" thickBot="1">
      <c r="A4" s="128" t="s">
        <v>582</v>
      </c>
      <c r="D4" s="129" t="s">
        <v>583</v>
      </c>
    </row>
    <row r="5" spans="1:5" ht="23.4" thickBot="1">
      <c r="A5" s="125" t="s">
        <v>584</v>
      </c>
      <c r="D5" s="124" t="s">
        <v>581</v>
      </c>
    </row>
    <row r="6" spans="1:5" ht="23.4" thickBot="1">
      <c r="A6" s="125" t="s">
        <v>585</v>
      </c>
      <c r="D6" s="124" t="s">
        <v>581</v>
      </c>
    </row>
    <row r="7" spans="1:5" ht="23.4" thickBot="1">
      <c r="A7" s="125" t="s">
        <v>586</v>
      </c>
      <c r="D7" s="124" t="s">
        <v>587</v>
      </c>
    </row>
    <row r="8" spans="1:5" ht="46.2" thickBot="1">
      <c r="A8" s="125" t="s">
        <v>588</v>
      </c>
      <c r="D8" s="124" t="s">
        <v>581</v>
      </c>
    </row>
    <row r="9" spans="1:5" ht="23.4" thickBot="1">
      <c r="A9" s="125" t="s">
        <v>589</v>
      </c>
      <c r="D9" s="124" t="s">
        <v>590</v>
      </c>
    </row>
    <row r="10" spans="1:5" ht="23.4" thickBot="1">
      <c r="A10" s="125" t="s">
        <v>591</v>
      </c>
      <c r="D10" s="124" t="s">
        <v>581</v>
      </c>
    </row>
    <row r="11" spans="1:5" ht="34.799999999999997" thickBot="1">
      <c r="A11" s="125" t="s">
        <v>592</v>
      </c>
      <c r="D11" s="124" t="s">
        <v>587</v>
      </c>
    </row>
    <row r="12" spans="1:5" ht="23.4" thickBot="1">
      <c r="A12" s="125" t="s">
        <v>593</v>
      </c>
      <c r="D12" s="124" t="s">
        <v>594</v>
      </c>
    </row>
    <row r="13" spans="1:5" ht="34.799999999999997" thickBot="1">
      <c r="A13" s="125" t="s">
        <v>595</v>
      </c>
      <c r="D13" s="124" t="s">
        <v>581</v>
      </c>
    </row>
    <row r="14" spans="1:5" ht="34.799999999999997" thickBot="1">
      <c r="A14" s="125" t="s">
        <v>596</v>
      </c>
      <c r="D14" s="124" t="s">
        <v>581</v>
      </c>
    </row>
    <row r="15" spans="1:5" ht="23.4" thickBot="1">
      <c r="A15" s="125" t="s">
        <v>597</v>
      </c>
      <c r="D15" s="124" t="s">
        <v>583</v>
      </c>
    </row>
    <row r="16" spans="1:5" ht="34.799999999999997" thickBot="1">
      <c r="A16" s="125" t="s">
        <v>598</v>
      </c>
      <c r="D16" s="124" t="s">
        <v>581</v>
      </c>
    </row>
    <row r="17" spans="1:4" ht="23.4" thickBot="1">
      <c r="A17" s="125" t="s">
        <v>599</v>
      </c>
      <c r="D17" s="124" t="s">
        <v>583</v>
      </c>
    </row>
    <row r="18" spans="1:4" ht="46.2" thickBot="1">
      <c r="A18" s="125" t="s">
        <v>600</v>
      </c>
      <c r="D18" s="124" t="s">
        <v>594</v>
      </c>
    </row>
    <row r="19" spans="1:4" ht="34.799999999999997" thickBot="1">
      <c r="A19" s="125" t="s">
        <v>601</v>
      </c>
      <c r="D19" s="124" t="s">
        <v>581</v>
      </c>
    </row>
    <row r="20" spans="1:4" ht="46.2" thickBot="1">
      <c r="A20" s="125" t="s">
        <v>602</v>
      </c>
      <c r="D20" s="124" t="s">
        <v>581</v>
      </c>
    </row>
    <row r="21" spans="1:4" ht="23.4" thickBot="1">
      <c r="A21" s="125" t="s">
        <v>603</v>
      </c>
      <c r="D21" s="124" t="s">
        <v>587</v>
      </c>
    </row>
    <row r="22" spans="1:4" ht="46.2" thickBot="1">
      <c r="A22" s="127" t="s">
        <v>604</v>
      </c>
      <c r="D22" s="126" t="s">
        <v>581</v>
      </c>
    </row>
    <row r="23" spans="1:4" ht="34.799999999999997" thickBot="1">
      <c r="A23" s="125" t="s">
        <v>605</v>
      </c>
      <c r="D23" s="124" t="s">
        <v>587</v>
      </c>
    </row>
    <row r="24" spans="1:4" ht="34.799999999999997" thickBot="1">
      <c r="A24" s="125" t="s">
        <v>606</v>
      </c>
      <c r="D24" s="124" t="s">
        <v>581</v>
      </c>
    </row>
    <row r="25" spans="1:4" ht="46.2" thickBot="1">
      <c r="A25" s="125" t="s">
        <v>607</v>
      </c>
      <c r="D25" s="124" t="s">
        <v>581</v>
      </c>
    </row>
    <row r="26" spans="1:4" ht="15" thickBot="1">
      <c r="A26" s="125" t="s">
        <v>608</v>
      </c>
      <c r="D26" s="124" t="s">
        <v>583</v>
      </c>
    </row>
    <row r="27" spans="1:4" ht="23.4" thickBot="1">
      <c r="A27" s="125" t="s">
        <v>609</v>
      </c>
      <c r="D27" s="124" t="s">
        <v>610</v>
      </c>
    </row>
    <row r="28" spans="1:4" ht="23.4" thickBot="1">
      <c r="A28" s="125" t="s">
        <v>611</v>
      </c>
      <c r="D28" s="124" t="s">
        <v>587</v>
      </c>
    </row>
    <row r="29" spans="1:4" ht="46.2" thickBot="1">
      <c r="A29" s="125" t="s">
        <v>612</v>
      </c>
      <c r="D29" s="124" t="s">
        <v>581</v>
      </c>
    </row>
    <row r="30" spans="1:4" ht="34.799999999999997" thickBot="1">
      <c r="A30" s="125" t="s">
        <v>613</v>
      </c>
      <c r="D30" s="124" t="s">
        <v>583</v>
      </c>
    </row>
    <row r="31" spans="1:4" ht="34.799999999999997" thickBot="1">
      <c r="A31" s="125" t="s">
        <v>614</v>
      </c>
      <c r="D31" s="124" t="s">
        <v>590</v>
      </c>
    </row>
    <row r="32" spans="1:4" ht="34.799999999999997" thickBot="1">
      <c r="A32" s="125" t="s">
        <v>615</v>
      </c>
      <c r="D32" s="124" t="s">
        <v>581</v>
      </c>
    </row>
    <row r="33" spans="1:4" ht="34.799999999999997" thickBot="1">
      <c r="A33" s="125" t="s">
        <v>616</v>
      </c>
      <c r="D33" s="124" t="s">
        <v>581</v>
      </c>
    </row>
    <row r="34" spans="1:4" ht="34.799999999999997" thickBot="1">
      <c r="A34" s="125" t="s">
        <v>617</v>
      </c>
      <c r="D34" s="124" t="s">
        <v>581</v>
      </c>
    </row>
    <row r="35" spans="1:4" ht="23.4" thickBot="1">
      <c r="A35" s="125" t="s">
        <v>618</v>
      </c>
      <c r="D35" s="124" t="s">
        <v>583</v>
      </c>
    </row>
    <row r="36" spans="1:4" ht="23.4" thickBot="1">
      <c r="A36" s="125" t="s">
        <v>619</v>
      </c>
      <c r="D36" s="124" t="s">
        <v>581</v>
      </c>
    </row>
    <row r="37" spans="1:4" ht="23.4" thickBot="1">
      <c r="A37" s="125" t="s">
        <v>620</v>
      </c>
      <c r="D37" s="124" t="s">
        <v>583</v>
      </c>
    </row>
    <row r="38" spans="1:4" ht="34.799999999999997" thickBot="1">
      <c r="A38" s="125" t="s">
        <v>621</v>
      </c>
      <c r="D38" s="124" t="s">
        <v>583</v>
      </c>
    </row>
    <row r="39" spans="1:4" ht="34.799999999999997" thickBot="1">
      <c r="A39" s="125" t="s">
        <v>622</v>
      </c>
      <c r="D39" s="124" t="s">
        <v>610</v>
      </c>
    </row>
    <row r="40" spans="1:4" ht="34.799999999999997" thickBot="1">
      <c r="A40" s="125" t="s">
        <v>623</v>
      </c>
      <c r="D40" s="124" t="s">
        <v>583</v>
      </c>
    </row>
    <row r="41" spans="1:4" ht="23.4" thickBot="1">
      <c r="A41" s="125" t="s">
        <v>624</v>
      </c>
      <c r="D41" s="124" t="s">
        <v>581</v>
      </c>
    </row>
    <row r="42" spans="1:4" ht="23.4" thickBot="1">
      <c r="A42" s="125" t="s">
        <v>625</v>
      </c>
      <c r="D42" s="124" t="s">
        <v>587</v>
      </c>
    </row>
    <row r="43" spans="1:4" ht="23.4" thickBot="1">
      <c r="A43" s="125" t="s">
        <v>626</v>
      </c>
      <c r="D43" s="124" t="s">
        <v>581</v>
      </c>
    </row>
    <row r="44" spans="1:4" ht="22.8">
      <c r="A44" s="131" t="s">
        <v>627</v>
      </c>
      <c r="D44" s="132" t="s">
        <v>628</v>
      </c>
    </row>
  </sheetData>
  <sortState xmlns:xlrd2="http://schemas.microsoft.com/office/spreadsheetml/2017/richdata2" ref="A2:E44">
    <sortCondition ref="E2:E4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AD8E1-66F2-4A7E-9A3D-B67D34CB8B26}">
  <dimension ref="A1:D5"/>
  <sheetViews>
    <sheetView workbookViewId="0">
      <pane xSplit="1" topLeftCell="B1" activePane="topRight" state="frozen"/>
      <selection pane="topRight" activeCell="K7" sqref="K7"/>
    </sheetView>
  </sheetViews>
  <sheetFormatPr defaultRowHeight="14.4"/>
  <cols>
    <col min="2" max="2" width="11.88671875" customWidth="1"/>
    <col min="3" max="3" width="12.44140625" bestFit="1" customWidth="1"/>
    <col min="4" max="4" width="9.44140625" customWidth="1"/>
  </cols>
  <sheetData>
    <row r="1" spans="1:4" s="40" customFormat="1">
      <c r="A1" s="40" t="s">
        <v>738</v>
      </c>
      <c r="B1" s="40" t="s">
        <v>739</v>
      </c>
      <c r="C1" s="40" t="s">
        <v>740</v>
      </c>
      <c r="D1" s="40" t="s">
        <v>741</v>
      </c>
    </row>
    <row r="2" spans="1:4">
      <c r="A2" t="s">
        <v>742</v>
      </c>
      <c r="B2" t="s">
        <v>743</v>
      </c>
      <c r="C2">
        <v>20000</v>
      </c>
      <c r="D2">
        <v>20000</v>
      </c>
    </row>
    <row r="3" spans="1:4">
      <c r="A3" t="s">
        <v>744</v>
      </c>
      <c r="B3" t="s">
        <v>745</v>
      </c>
      <c r="C3" t="s">
        <v>745</v>
      </c>
      <c r="D3">
        <v>20000</v>
      </c>
    </row>
    <row r="4" spans="1:4">
      <c r="A4" t="s">
        <v>746</v>
      </c>
      <c r="B4" s="35" t="s">
        <v>747</v>
      </c>
      <c r="C4" s="35" t="s">
        <v>747</v>
      </c>
      <c r="D4">
        <v>9000</v>
      </c>
    </row>
    <row r="5" spans="1:4">
      <c r="A5" t="s">
        <v>748</v>
      </c>
      <c r="D5">
        <v>9000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13D3B-54FF-4593-8BD5-234C01F3A0A8}">
  <sheetPr filterMode="1"/>
  <dimension ref="A1:I59"/>
  <sheetViews>
    <sheetView workbookViewId="0">
      <selection activeCell="G4" sqref="G4"/>
    </sheetView>
  </sheetViews>
  <sheetFormatPr defaultRowHeight="14.4"/>
  <cols>
    <col min="1" max="1" width="23.109375" customWidth="1"/>
    <col min="2" max="9" width="17.5546875" customWidth="1"/>
    <col min="10" max="10" width="15.44140625" customWidth="1"/>
  </cols>
  <sheetData>
    <row r="1" spans="1:9">
      <c r="A1" s="40" t="s">
        <v>569</v>
      </c>
      <c r="B1" s="40" t="s">
        <v>749</v>
      </c>
      <c r="C1" s="40" t="s">
        <v>750</v>
      </c>
      <c r="D1" s="40" t="s">
        <v>751</v>
      </c>
      <c r="E1" s="40" t="s">
        <v>752</v>
      </c>
      <c r="F1" s="40" t="s">
        <v>753</v>
      </c>
      <c r="G1" s="40" t="s">
        <v>754</v>
      </c>
      <c r="H1" s="40" t="s">
        <v>755</v>
      </c>
      <c r="I1" s="40" t="s">
        <v>756</v>
      </c>
    </row>
    <row r="2" spans="1:9" hidden="1">
      <c r="A2" t="s">
        <v>757</v>
      </c>
      <c r="B2" t="s">
        <v>758</v>
      </c>
      <c r="C2" t="s">
        <v>577</v>
      </c>
      <c r="D2" t="s">
        <v>577</v>
      </c>
      <c r="E2" t="s">
        <v>577</v>
      </c>
      <c r="F2" s="85" t="s">
        <v>759</v>
      </c>
      <c r="G2" s="85">
        <v>25</v>
      </c>
      <c r="H2" s="85"/>
      <c r="I2" t="s">
        <v>758</v>
      </c>
    </row>
    <row r="3" spans="1:9">
      <c r="A3" t="s">
        <v>760</v>
      </c>
      <c r="B3" t="s">
        <v>577</v>
      </c>
      <c r="C3" t="s">
        <v>577</v>
      </c>
      <c r="D3" t="s">
        <v>577</v>
      </c>
      <c r="E3" t="s">
        <v>758</v>
      </c>
      <c r="G3" s="85">
        <v>27</v>
      </c>
      <c r="I3" t="s">
        <v>758</v>
      </c>
    </row>
    <row r="4" spans="1:9">
      <c r="A4" s="29" t="s">
        <v>761</v>
      </c>
      <c r="B4" t="s">
        <v>577</v>
      </c>
      <c r="C4" t="s">
        <v>577</v>
      </c>
      <c r="D4" t="s">
        <v>577</v>
      </c>
      <c r="E4" t="s">
        <v>577</v>
      </c>
      <c r="G4" s="85">
        <v>29</v>
      </c>
      <c r="I4" t="s">
        <v>762</v>
      </c>
    </row>
    <row r="5" spans="1:9" hidden="1">
      <c r="A5" t="s">
        <v>763</v>
      </c>
      <c r="B5" t="s">
        <v>758</v>
      </c>
      <c r="C5" t="s">
        <v>577</v>
      </c>
      <c r="D5" t="s">
        <v>577</v>
      </c>
      <c r="E5" t="s">
        <v>758</v>
      </c>
      <c r="G5" s="85">
        <v>33</v>
      </c>
      <c r="I5" t="s">
        <v>758</v>
      </c>
    </row>
    <row r="6" spans="1:9" hidden="1">
      <c r="A6" t="s">
        <v>764</v>
      </c>
      <c r="B6" t="s">
        <v>577</v>
      </c>
      <c r="C6" t="s">
        <v>577</v>
      </c>
      <c r="D6" t="s">
        <v>577</v>
      </c>
      <c r="E6" t="s">
        <v>758</v>
      </c>
      <c r="G6" s="85">
        <v>21</v>
      </c>
      <c r="H6" t="s">
        <v>765</v>
      </c>
      <c r="I6" t="s">
        <v>758</v>
      </c>
    </row>
    <row r="7" spans="1:9" hidden="1">
      <c r="A7" t="s">
        <v>766</v>
      </c>
      <c r="B7" t="s">
        <v>577</v>
      </c>
      <c r="C7" t="s">
        <v>577</v>
      </c>
      <c r="D7" t="s">
        <v>577</v>
      </c>
      <c r="E7" t="s">
        <v>758</v>
      </c>
      <c r="G7" s="85">
        <v>35</v>
      </c>
      <c r="I7" t="s">
        <v>758</v>
      </c>
    </row>
    <row r="8" spans="1:9" hidden="1">
      <c r="A8" t="s">
        <v>767</v>
      </c>
      <c r="B8" t="s">
        <v>758</v>
      </c>
      <c r="C8" t="s">
        <v>577</v>
      </c>
      <c r="D8" t="s">
        <v>577</v>
      </c>
      <c r="E8" t="s">
        <v>758</v>
      </c>
      <c r="G8" s="85">
        <v>27</v>
      </c>
      <c r="I8" t="s">
        <v>758</v>
      </c>
    </row>
    <row r="9" spans="1:9" hidden="1">
      <c r="A9" t="s">
        <v>768</v>
      </c>
      <c r="B9" t="s">
        <v>577</v>
      </c>
      <c r="C9" t="s">
        <v>577</v>
      </c>
      <c r="D9" t="s">
        <v>758</v>
      </c>
      <c r="E9" t="s">
        <v>577</v>
      </c>
      <c r="G9" s="85">
        <v>31</v>
      </c>
      <c r="I9" t="s">
        <v>758</v>
      </c>
    </row>
    <row r="10" spans="1:9" hidden="1">
      <c r="A10" t="s">
        <v>769</v>
      </c>
      <c r="B10" t="s">
        <v>577</v>
      </c>
      <c r="C10" t="s">
        <v>577</v>
      </c>
      <c r="D10" t="s">
        <v>577</v>
      </c>
      <c r="E10" t="s">
        <v>758</v>
      </c>
      <c r="G10" s="85">
        <v>29</v>
      </c>
      <c r="I10" t="s">
        <v>758</v>
      </c>
    </row>
    <row r="11" spans="1:9">
      <c r="A11" t="s">
        <v>770</v>
      </c>
      <c r="B11" t="s">
        <v>577</v>
      </c>
      <c r="C11" t="s">
        <v>577</v>
      </c>
      <c r="D11" t="s">
        <v>577</v>
      </c>
      <c r="E11" t="s">
        <v>577</v>
      </c>
      <c r="G11" s="85">
        <v>39</v>
      </c>
      <c r="I11" t="s">
        <v>762</v>
      </c>
    </row>
    <row r="12" spans="1:9">
      <c r="A12" s="29" t="s">
        <v>771</v>
      </c>
      <c r="B12" t="s">
        <v>758</v>
      </c>
      <c r="C12" t="s">
        <v>577</v>
      </c>
      <c r="D12" t="s">
        <v>577</v>
      </c>
      <c r="E12" t="s">
        <v>577</v>
      </c>
      <c r="G12" s="85">
        <v>32</v>
      </c>
      <c r="I12" t="s">
        <v>762</v>
      </c>
    </row>
    <row r="13" spans="1:9" hidden="1">
      <c r="A13" t="s">
        <v>772</v>
      </c>
      <c r="B13" t="s">
        <v>577</v>
      </c>
      <c r="C13" t="s">
        <v>577</v>
      </c>
      <c r="D13" t="s">
        <v>577</v>
      </c>
      <c r="E13" t="s">
        <v>758</v>
      </c>
      <c r="G13" s="85">
        <v>33</v>
      </c>
      <c r="I13" t="s">
        <v>758</v>
      </c>
    </row>
    <row r="14" spans="1:9" hidden="1">
      <c r="A14" t="s">
        <v>773</v>
      </c>
      <c r="B14" t="s">
        <v>577</v>
      </c>
      <c r="C14" t="s">
        <v>577</v>
      </c>
      <c r="D14" t="s">
        <v>758</v>
      </c>
      <c r="E14" t="s">
        <v>758</v>
      </c>
      <c r="G14" s="85">
        <v>17</v>
      </c>
      <c r="I14" t="s">
        <v>758</v>
      </c>
    </row>
    <row r="15" spans="1:9" hidden="1">
      <c r="A15" t="s">
        <v>774</v>
      </c>
      <c r="B15" t="s">
        <v>758</v>
      </c>
      <c r="C15" t="s">
        <v>577</v>
      </c>
      <c r="D15" t="s">
        <v>577</v>
      </c>
      <c r="E15" t="s">
        <v>577</v>
      </c>
      <c r="F15" s="85" t="s">
        <v>775</v>
      </c>
      <c r="G15" s="85">
        <v>26</v>
      </c>
      <c r="H15" s="85" t="s">
        <v>776</v>
      </c>
      <c r="I15" t="s">
        <v>758</v>
      </c>
    </row>
    <row r="16" spans="1:9" hidden="1">
      <c r="A16" s="29" t="s">
        <v>777</v>
      </c>
      <c r="B16" t="s">
        <v>758</v>
      </c>
      <c r="C16" t="s">
        <v>758</v>
      </c>
      <c r="D16" t="s">
        <v>577</v>
      </c>
      <c r="E16" t="s">
        <v>577</v>
      </c>
      <c r="G16" s="85">
        <v>26</v>
      </c>
      <c r="I16" t="s">
        <v>758</v>
      </c>
    </row>
    <row r="17" spans="1:9" hidden="1">
      <c r="A17" t="s">
        <v>778</v>
      </c>
      <c r="B17" t="s">
        <v>758</v>
      </c>
      <c r="C17" t="s">
        <v>577</v>
      </c>
      <c r="D17" t="s">
        <v>577</v>
      </c>
      <c r="E17" t="s">
        <v>758</v>
      </c>
      <c r="G17" s="85">
        <v>34</v>
      </c>
      <c r="I17" t="s">
        <v>758</v>
      </c>
    </row>
    <row r="18" spans="1:9" hidden="1">
      <c r="A18" t="s">
        <v>779</v>
      </c>
      <c r="B18" t="s">
        <v>758</v>
      </c>
      <c r="C18" t="s">
        <v>577</v>
      </c>
      <c r="D18" t="s">
        <v>577</v>
      </c>
      <c r="E18" t="s">
        <v>758</v>
      </c>
      <c r="G18" s="85">
        <v>30</v>
      </c>
      <c r="I18" t="s">
        <v>758</v>
      </c>
    </row>
    <row r="19" spans="1:9" hidden="1">
      <c r="A19" t="s">
        <v>780</v>
      </c>
      <c r="B19" t="s">
        <v>758</v>
      </c>
      <c r="C19" t="s">
        <v>577</v>
      </c>
      <c r="D19" t="s">
        <v>577</v>
      </c>
      <c r="E19" t="s">
        <v>758</v>
      </c>
      <c r="F19" t="s">
        <v>781</v>
      </c>
      <c r="G19" s="85">
        <v>27</v>
      </c>
      <c r="I19" t="s">
        <v>758</v>
      </c>
    </row>
    <row r="20" spans="1:9" hidden="1">
      <c r="A20" t="s">
        <v>782</v>
      </c>
      <c r="B20" t="s">
        <v>758</v>
      </c>
      <c r="C20" t="s">
        <v>577</v>
      </c>
      <c r="D20" t="s">
        <v>577</v>
      </c>
      <c r="E20" t="s">
        <v>577</v>
      </c>
      <c r="G20" s="85">
        <v>29</v>
      </c>
      <c r="I20" t="s">
        <v>758</v>
      </c>
    </row>
    <row r="21" spans="1:9">
      <c r="A21" t="s">
        <v>783</v>
      </c>
      <c r="B21" t="s">
        <v>577</v>
      </c>
      <c r="C21" t="s">
        <v>577</v>
      </c>
      <c r="D21" t="s">
        <v>577</v>
      </c>
      <c r="E21" t="s">
        <v>577</v>
      </c>
      <c r="G21" s="85">
        <v>25</v>
      </c>
      <c r="I21" t="s">
        <v>762</v>
      </c>
    </row>
    <row r="22" spans="1:9" hidden="1">
      <c r="A22" t="s">
        <v>784</v>
      </c>
      <c r="B22" t="s">
        <v>577</v>
      </c>
      <c r="C22" t="s">
        <v>577</v>
      </c>
      <c r="D22" t="s">
        <v>577</v>
      </c>
      <c r="E22" t="s">
        <v>758</v>
      </c>
      <c r="F22" t="s">
        <v>785</v>
      </c>
      <c r="G22" s="85">
        <v>30</v>
      </c>
      <c r="I22" t="s">
        <v>758</v>
      </c>
    </row>
    <row r="23" spans="1:9" hidden="1">
      <c r="A23" t="s">
        <v>786</v>
      </c>
      <c r="B23" t="s">
        <v>577</v>
      </c>
      <c r="C23" t="s">
        <v>577</v>
      </c>
      <c r="D23" t="s">
        <v>577</v>
      </c>
      <c r="E23" t="s">
        <v>758</v>
      </c>
      <c r="G23" s="85">
        <v>24</v>
      </c>
      <c r="I23" t="s">
        <v>758</v>
      </c>
    </row>
    <row r="24" spans="1:9">
      <c r="A24" t="s">
        <v>787</v>
      </c>
      <c r="B24" t="s">
        <v>577</v>
      </c>
      <c r="C24" t="s">
        <v>577</v>
      </c>
      <c r="D24" t="s">
        <v>788</v>
      </c>
      <c r="E24" t="s">
        <v>577</v>
      </c>
      <c r="F24" t="s">
        <v>789</v>
      </c>
      <c r="G24">
        <v>29</v>
      </c>
      <c r="I24" t="s">
        <v>758</v>
      </c>
    </row>
    <row r="25" spans="1:9" hidden="1">
      <c r="A25" t="s">
        <v>790</v>
      </c>
      <c r="B25" t="s">
        <v>577</v>
      </c>
      <c r="C25" t="s">
        <v>577</v>
      </c>
      <c r="D25" t="s">
        <v>577</v>
      </c>
      <c r="E25" t="s">
        <v>758</v>
      </c>
      <c r="G25" s="85">
        <v>39</v>
      </c>
      <c r="I25" t="s">
        <v>758</v>
      </c>
    </row>
    <row r="26" spans="1:9">
      <c r="A26" t="s">
        <v>791</v>
      </c>
      <c r="B26" t="s">
        <v>577</v>
      </c>
      <c r="C26" t="s">
        <v>577</v>
      </c>
      <c r="D26" t="s">
        <v>577</v>
      </c>
      <c r="E26" t="s">
        <v>758</v>
      </c>
      <c r="G26" s="85">
        <v>40</v>
      </c>
      <c r="I26" t="s">
        <v>758</v>
      </c>
    </row>
    <row r="27" spans="1:9" hidden="1">
      <c r="A27" t="s">
        <v>792</v>
      </c>
      <c r="B27" t="s">
        <v>577</v>
      </c>
      <c r="C27" t="s">
        <v>577</v>
      </c>
      <c r="D27" t="s">
        <v>577</v>
      </c>
      <c r="E27" t="s">
        <v>577</v>
      </c>
      <c r="G27" s="85">
        <v>17</v>
      </c>
      <c r="I27" t="s">
        <v>758</v>
      </c>
    </row>
    <row r="28" spans="1:9" hidden="1">
      <c r="A28" t="s">
        <v>793</v>
      </c>
      <c r="B28" t="s">
        <v>758</v>
      </c>
      <c r="C28" t="s">
        <v>758</v>
      </c>
      <c r="D28" t="s">
        <v>577</v>
      </c>
      <c r="E28" t="s">
        <v>758</v>
      </c>
      <c r="G28" s="85">
        <v>41</v>
      </c>
      <c r="I28" t="s">
        <v>758</v>
      </c>
    </row>
    <row r="29" spans="1:9" hidden="1">
      <c r="A29" t="s">
        <v>794</v>
      </c>
      <c r="B29" t="s">
        <v>758</v>
      </c>
      <c r="C29" t="s">
        <v>577</v>
      </c>
      <c r="D29" t="s">
        <v>577</v>
      </c>
      <c r="E29" t="s">
        <v>758</v>
      </c>
      <c r="G29" s="85">
        <v>7</v>
      </c>
      <c r="I29" t="s">
        <v>758</v>
      </c>
    </row>
    <row r="30" spans="1:9" hidden="1">
      <c r="A30" t="s">
        <v>795</v>
      </c>
      <c r="B30" t="s">
        <v>758</v>
      </c>
      <c r="C30" t="s">
        <v>577</v>
      </c>
      <c r="D30" t="s">
        <v>577</v>
      </c>
      <c r="E30" t="s">
        <v>758</v>
      </c>
      <c r="G30" s="85">
        <v>47</v>
      </c>
      <c r="I30" t="s">
        <v>758</v>
      </c>
    </row>
    <row r="31" spans="1:9" hidden="1">
      <c r="A31" t="s">
        <v>796</v>
      </c>
      <c r="B31" t="s">
        <v>577</v>
      </c>
      <c r="C31" t="s">
        <v>577</v>
      </c>
      <c r="D31" t="s">
        <v>577</v>
      </c>
      <c r="E31" t="s">
        <v>758</v>
      </c>
      <c r="G31" s="85">
        <v>27</v>
      </c>
      <c r="I31" t="s">
        <v>758</v>
      </c>
    </row>
    <row r="32" spans="1:9" hidden="1">
      <c r="A32" t="s">
        <v>797</v>
      </c>
      <c r="B32" t="s">
        <v>577</v>
      </c>
      <c r="C32" t="s">
        <v>577</v>
      </c>
      <c r="D32" t="s">
        <v>577</v>
      </c>
      <c r="E32" t="s">
        <v>758</v>
      </c>
      <c r="G32" s="85">
        <v>18</v>
      </c>
      <c r="I32" t="s">
        <v>758</v>
      </c>
    </row>
    <row r="33" spans="1:9" hidden="1">
      <c r="A33" t="s">
        <v>798</v>
      </c>
      <c r="B33" t="s">
        <v>758</v>
      </c>
      <c r="C33" t="s">
        <v>577</v>
      </c>
      <c r="D33" t="s">
        <v>577</v>
      </c>
      <c r="E33" t="s">
        <v>758</v>
      </c>
      <c r="G33" s="85">
        <v>26</v>
      </c>
      <c r="I33" t="s">
        <v>758</v>
      </c>
    </row>
    <row r="34" spans="1:9" hidden="1">
      <c r="A34" t="s">
        <v>799</v>
      </c>
      <c r="B34" t="s">
        <v>758</v>
      </c>
      <c r="C34" t="s">
        <v>577</v>
      </c>
      <c r="D34" t="s">
        <v>577</v>
      </c>
      <c r="E34" t="s">
        <v>758</v>
      </c>
      <c r="G34" s="85">
        <v>14</v>
      </c>
      <c r="I34" t="s">
        <v>758</v>
      </c>
    </row>
    <row r="35" spans="1:9">
      <c r="A35" t="s">
        <v>800</v>
      </c>
      <c r="B35" t="s">
        <v>758</v>
      </c>
      <c r="C35" t="s">
        <v>577</v>
      </c>
      <c r="D35" t="s">
        <v>577</v>
      </c>
      <c r="E35" t="s">
        <v>577</v>
      </c>
      <c r="G35" s="85">
        <v>30</v>
      </c>
      <c r="I35" t="s">
        <v>762</v>
      </c>
    </row>
    <row r="36" spans="1:9" hidden="1">
      <c r="A36" t="s">
        <v>801</v>
      </c>
      <c r="B36" t="s">
        <v>577</v>
      </c>
      <c r="C36" t="s">
        <v>577</v>
      </c>
      <c r="D36" t="s">
        <v>758</v>
      </c>
      <c r="E36" t="s">
        <v>758</v>
      </c>
      <c r="F36" s="86" t="s">
        <v>802</v>
      </c>
      <c r="G36" s="85">
        <v>38</v>
      </c>
      <c r="I36" t="s">
        <v>758</v>
      </c>
    </row>
    <row r="37" spans="1:9">
      <c r="A37" t="s">
        <v>803</v>
      </c>
      <c r="B37" t="s">
        <v>758</v>
      </c>
      <c r="C37" t="s">
        <v>577</v>
      </c>
      <c r="D37" t="s">
        <v>577</v>
      </c>
      <c r="E37" t="s">
        <v>577</v>
      </c>
      <c r="G37" s="85">
        <v>33</v>
      </c>
      <c r="I37" t="s">
        <v>788</v>
      </c>
    </row>
    <row r="38" spans="1:9" hidden="1">
      <c r="A38" t="s">
        <v>804</v>
      </c>
      <c r="B38" t="s">
        <v>577</v>
      </c>
      <c r="C38" t="s">
        <v>577</v>
      </c>
      <c r="D38" t="s">
        <v>758</v>
      </c>
      <c r="E38" t="s">
        <v>758</v>
      </c>
      <c r="G38" s="85">
        <v>21</v>
      </c>
      <c r="I38" t="s">
        <v>758</v>
      </c>
    </row>
    <row r="39" spans="1:9">
      <c r="A39" t="s">
        <v>805</v>
      </c>
      <c r="B39" t="s">
        <v>577</v>
      </c>
      <c r="C39" t="s">
        <v>577</v>
      </c>
      <c r="D39" t="s">
        <v>577</v>
      </c>
      <c r="E39" t="s">
        <v>577</v>
      </c>
      <c r="G39" s="85">
        <v>35</v>
      </c>
      <c r="I39" t="s">
        <v>762</v>
      </c>
    </row>
    <row r="40" spans="1:9" hidden="1">
      <c r="A40" t="s">
        <v>806</v>
      </c>
      <c r="B40" t="s">
        <v>758</v>
      </c>
      <c r="C40" t="s">
        <v>577</v>
      </c>
      <c r="D40" t="s">
        <v>577</v>
      </c>
      <c r="E40" t="s">
        <v>758</v>
      </c>
      <c r="G40" s="85">
        <v>25</v>
      </c>
      <c r="I40" t="s">
        <v>758</v>
      </c>
    </row>
    <row r="41" spans="1:9" hidden="1">
      <c r="A41" t="s">
        <v>807</v>
      </c>
      <c r="B41" t="s">
        <v>577</v>
      </c>
      <c r="C41" t="s">
        <v>577</v>
      </c>
      <c r="D41" t="s">
        <v>758</v>
      </c>
      <c r="E41" t="s">
        <v>758</v>
      </c>
      <c r="G41" s="85">
        <v>31</v>
      </c>
      <c r="I41" t="s">
        <v>758</v>
      </c>
    </row>
    <row r="42" spans="1:9">
      <c r="A42" t="s">
        <v>808</v>
      </c>
      <c r="B42" t="s">
        <v>577</v>
      </c>
      <c r="C42" t="s">
        <v>577</v>
      </c>
      <c r="D42" t="s">
        <v>577</v>
      </c>
      <c r="E42" t="s">
        <v>577</v>
      </c>
      <c r="G42" s="85">
        <v>28</v>
      </c>
      <c r="I42" t="s">
        <v>762</v>
      </c>
    </row>
    <row r="43" spans="1:9" hidden="1">
      <c r="A43" t="s">
        <v>809</v>
      </c>
      <c r="B43" t="s">
        <v>758</v>
      </c>
      <c r="C43" t="s">
        <v>577</v>
      </c>
      <c r="D43" t="s">
        <v>577</v>
      </c>
      <c r="E43" t="s">
        <v>758</v>
      </c>
      <c r="G43" s="85">
        <v>35</v>
      </c>
      <c r="I43" t="s">
        <v>758</v>
      </c>
    </row>
    <row r="44" spans="1:9">
      <c r="A44" t="s">
        <v>810</v>
      </c>
      <c r="B44" t="s">
        <v>577</v>
      </c>
      <c r="C44" t="s">
        <v>577</v>
      </c>
      <c r="D44" t="s">
        <v>577</v>
      </c>
      <c r="E44" t="s">
        <v>758</v>
      </c>
      <c r="F44" t="s">
        <v>789</v>
      </c>
      <c r="G44">
        <v>32</v>
      </c>
      <c r="H44" t="s">
        <v>811</v>
      </c>
      <c r="I44" t="s">
        <v>762</v>
      </c>
    </row>
    <row r="45" spans="1:9" hidden="1">
      <c r="A45" t="s">
        <v>812</v>
      </c>
      <c r="B45" t="s">
        <v>577</v>
      </c>
      <c r="C45" t="s">
        <v>577</v>
      </c>
      <c r="D45" t="s">
        <v>577</v>
      </c>
      <c r="E45" t="s">
        <v>758</v>
      </c>
      <c r="G45" s="85">
        <v>31</v>
      </c>
      <c r="I45" t="s">
        <v>758</v>
      </c>
    </row>
    <row r="46" spans="1:9" hidden="1">
      <c r="A46" t="s">
        <v>813</v>
      </c>
      <c r="B46" t="s">
        <v>577</v>
      </c>
      <c r="C46" t="s">
        <v>577</v>
      </c>
      <c r="D46" t="s">
        <v>577</v>
      </c>
      <c r="E46" t="s">
        <v>758</v>
      </c>
      <c r="F46" t="s">
        <v>814</v>
      </c>
      <c r="G46" s="85">
        <v>30</v>
      </c>
      <c r="I46" t="s">
        <v>758</v>
      </c>
    </row>
    <row r="47" spans="1:9" hidden="1">
      <c r="A47" t="s">
        <v>815</v>
      </c>
      <c r="B47" t="s">
        <v>577</v>
      </c>
      <c r="C47" t="s">
        <v>577</v>
      </c>
      <c r="D47" t="s">
        <v>577</v>
      </c>
      <c r="E47" t="s">
        <v>758</v>
      </c>
      <c r="G47" s="85">
        <v>28</v>
      </c>
      <c r="I47" t="s">
        <v>758</v>
      </c>
    </row>
    <row r="48" spans="1:9" hidden="1">
      <c r="A48" t="s">
        <v>816</v>
      </c>
      <c r="B48" t="s">
        <v>577</v>
      </c>
      <c r="C48" t="s">
        <v>577</v>
      </c>
      <c r="D48" t="s">
        <v>577</v>
      </c>
      <c r="E48" t="s">
        <v>577</v>
      </c>
      <c r="F48" s="85" t="s">
        <v>775</v>
      </c>
      <c r="G48" s="85">
        <v>22</v>
      </c>
      <c r="H48" s="85"/>
      <c r="I48" t="s">
        <v>758</v>
      </c>
    </row>
    <row r="49" spans="1:9">
      <c r="A49" t="s">
        <v>817</v>
      </c>
      <c r="B49" t="s">
        <v>577</v>
      </c>
      <c r="C49" t="s">
        <v>577</v>
      </c>
      <c r="D49" t="s">
        <v>577</v>
      </c>
      <c r="E49" t="s">
        <v>577</v>
      </c>
      <c r="G49" s="85">
        <v>23</v>
      </c>
      <c r="I49" t="s">
        <v>762</v>
      </c>
    </row>
    <row r="50" spans="1:9" hidden="1">
      <c r="A50" t="s">
        <v>818</v>
      </c>
      <c r="B50" t="s">
        <v>758</v>
      </c>
      <c r="C50" t="s">
        <v>577</v>
      </c>
      <c r="D50" t="s">
        <v>577</v>
      </c>
      <c r="E50" t="s">
        <v>577</v>
      </c>
      <c r="G50" s="85">
        <v>16</v>
      </c>
      <c r="I50" t="s">
        <v>758</v>
      </c>
    </row>
    <row r="51" spans="1:9" hidden="1">
      <c r="A51" t="s">
        <v>819</v>
      </c>
      <c r="B51" t="s">
        <v>758</v>
      </c>
      <c r="C51" t="s">
        <v>577</v>
      </c>
      <c r="D51" t="s">
        <v>758</v>
      </c>
      <c r="E51" t="s">
        <v>577</v>
      </c>
      <c r="G51" s="85">
        <v>23</v>
      </c>
      <c r="I51" t="s">
        <v>758</v>
      </c>
    </row>
    <row r="52" spans="1:9" hidden="1">
      <c r="A52" t="s">
        <v>820</v>
      </c>
      <c r="B52" t="s">
        <v>758</v>
      </c>
      <c r="C52" t="s">
        <v>577</v>
      </c>
      <c r="D52" t="s">
        <v>758</v>
      </c>
      <c r="E52" t="s">
        <v>577</v>
      </c>
      <c r="G52" s="85">
        <v>32</v>
      </c>
      <c r="I52" t="s">
        <v>758</v>
      </c>
    </row>
    <row r="53" spans="1:9">
      <c r="A53" s="29" t="s">
        <v>821</v>
      </c>
      <c r="B53" t="s">
        <v>758</v>
      </c>
      <c r="C53" t="s">
        <v>577</v>
      </c>
      <c r="D53" t="s">
        <v>577</v>
      </c>
      <c r="E53" t="s">
        <v>577</v>
      </c>
      <c r="G53" s="85">
        <v>33</v>
      </c>
      <c r="I53" t="s">
        <v>762</v>
      </c>
    </row>
    <row r="54" spans="1:9">
      <c r="A54" s="29" t="s">
        <v>822</v>
      </c>
      <c r="B54" t="s">
        <v>577</v>
      </c>
      <c r="C54" t="s">
        <v>577</v>
      </c>
      <c r="D54" t="s">
        <v>577</v>
      </c>
      <c r="E54" t="s">
        <v>577</v>
      </c>
      <c r="G54" s="85"/>
      <c r="I54" t="s">
        <v>762</v>
      </c>
    </row>
    <row r="55" spans="1:9" hidden="1">
      <c r="A55" t="s">
        <v>823</v>
      </c>
      <c r="B55" t="s">
        <v>758</v>
      </c>
      <c r="C55" t="s">
        <v>577</v>
      </c>
      <c r="D55" t="s">
        <v>577</v>
      </c>
      <c r="E55" t="s">
        <v>758</v>
      </c>
      <c r="G55" s="85">
        <v>33</v>
      </c>
      <c r="I55" t="s">
        <v>758</v>
      </c>
    </row>
    <row r="56" spans="1:9" hidden="1">
      <c r="A56" t="s">
        <v>824</v>
      </c>
      <c r="B56" t="s">
        <v>577</v>
      </c>
      <c r="C56" t="s">
        <v>577</v>
      </c>
      <c r="D56" t="s">
        <v>758</v>
      </c>
      <c r="E56" t="s">
        <v>758</v>
      </c>
      <c r="F56" s="85" t="s">
        <v>775</v>
      </c>
      <c r="G56" s="85">
        <v>20</v>
      </c>
      <c r="H56" s="85"/>
      <c r="I56" t="s">
        <v>758</v>
      </c>
    </row>
    <row r="57" spans="1:9" hidden="1">
      <c r="A57" t="s">
        <v>825</v>
      </c>
      <c r="B57" t="s">
        <v>758</v>
      </c>
      <c r="C57" t="s">
        <v>758</v>
      </c>
      <c r="D57" t="s">
        <v>577</v>
      </c>
      <c r="E57" t="s">
        <v>758</v>
      </c>
      <c r="G57" s="85">
        <v>35</v>
      </c>
      <c r="I57" t="s">
        <v>758</v>
      </c>
    </row>
    <row r="58" spans="1:9" hidden="1">
      <c r="A58" t="s">
        <v>826</v>
      </c>
      <c r="B58" t="s">
        <v>758</v>
      </c>
      <c r="C58" t="s">
        <v>577</v>
      </c>
      <c r="D58" t="s">
        <v>577</v>
      </c>
      <c r="E58" t="s">
        <v>758</v>
      </c>
      <c r="F58" t="s">
        <v>827</v>
      </c>
      <c r="G58" s="85">
        <v>39</v>
      </c>
      <c r="I58" t="s">
        <v>758</v>
      </c>
    </row>
    <row r="59" spans="1:9" hidden="1">
      <c r="A59" t="s">
        <v>828</v>
      </c>
      <c r="B59" t="s">
        <v>758</v>
      </c>
      <c r="C59" t="s">
        <v>577</v>
      </c>
      <c r="D59" t="s">
        <v>577</v>
      </c>
      <c r="E59" t="s">
        <v>758</v>
      </c>
      <c r="G59" s="85">
        <v>33</v>
      </c>
      <c r="I59" t="s">
        <v>758</v>
      </c>
    </row>
  </sheetData>
  <autoFilter ref="A1:I59" xr:uid="{B9613D3B-54FF-4593-8BD5-234C01F3A0A8}">
    <filterColumn colId="8">
      <filters>
        <filter val="?"/>
        <filter val="???"/>
        <filter val="Y???"/>
      </filters>
    </filterColumn>
  </autoFilter>
  <sortState xmlns:xlrd2="http://schemas.microsoft.com/office/spreadsheetml/2017/richdata2" ref="A2:I59">
    <sortCondition ref="A2:A5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C870D-FE97-4368-BCA2-6766A400EB64}">
  <dimension ref="A1:H31"/>
  <sheetViews>
    <sheetView topLeftCell="A11" workbookViewId="0">
      <selection activeCell="E29" sqref="E29"/>
    </sheetView>
  </sheetViews>
  <sheetFormatPr defaultRowHeight="14.4"/>
  <cols>
    <col min="1" max="1" width="20.88671875" customWidth="1"/>
    <col min="2" max="2" width="10.44140625" bestFit="1" customWidth="1"/>
    <col min="3" max="3" width="9.44140625" customWidth="1"/>
    <col min="4" max="4" width="9" customWidth="1"/>
    <col min="5" max="6" width="9.44140625" customWidth="1"/>
    <col min="8" max="8" width="9.5546875" bestFit="1" customWidth="1"/>
  </cols>
  <sheetData>
    <row r="1" spans="1:8">
      <c r="B1" s="40" t="s">
        <v>829</v>
      </c>
      <c r="C1" s="40" t="s">
        <v>830</v>
      </c>
      <c r="D1" s="40" t="s">
        <v>739</v>
      </c>
      <c r="E1" s="40" t="s">
        <v>740</v>
      </c>
      <c r="F1" s="40" t="s">
        <v>741</v>
      </c>
    </row>
    <row r="2" spans="1:8">
      <c r="A2" s="59" t="s">
        <v>479</v>
      </c>
      <c r="B2">
        <v>6416.67</v>
      </c>
      <c r="C2">
        <f>C$19/12</f>
        <v>8875</v>
      </c>
      <c r="D2">
        <f t="shared" ref="D2:E10" si="0">D$19/12-C$26</f>
        <v>7825</v>
      </c>
      <c r="E2" s="4">
        <f>E$19/12-D$26</f>
        <v>8425</v>
      </c>
      <c r="F2" s="4">
        <f>F$19/12-E$26</f>
        <v>8908.3333333333339</v>
      </c>
    </row>
    <row r="3" spans="1:8">
      <c r="A3" s="59" t="s">
        <v>831</v>
      </c>
      <c r="B3">
        <v>6416.67</v>
      </c>
      <c r="C3">
        <f t="shared" ref="C3:C10" si="1">C$19/12</f>
        <v>8875</v>
      </c>
      <c r="D3">
        <f t="shared" si="0"/>
        <v>7825</v>
      </c>
      <c r="E3" s="4">
        <f t="shared" si="0"/>
        <v>8425</v>
      </c>
      <c r="F3" s="4">
        <f t="shared" ref="F3:F10" si="2">F$19/12-E$26</f>
        <v>8908.3333333333339</v>
      </c>
    </row>
    <row r="4" spans="1:8">
      <c r="A4" s="59" t="s">
        <v>832</v>
      </c>
      <c r="B4">
        <v>6666.67</v>
      </c>
      <c r="C4">
        <f t="shared" si="1"/>
        <v>8875</v>
      </c>
      <c r="D4">
        <f t="shared" si="0"/>
        <v>7825</v>
      </c>
      <c r="E4" s="4">
        <f t="shared" si="0"/>
        <v>8425</v>
      </c>
      <c r="F4" s="4">
        <f t="shared" si="2"/>
        <v>8908.3333333333339</v>
      </c>
    </row>
    <row r="5" spans="1:8">
      <c r="A5" s="59" t="s">
        <v>833</v>
      </c>
      <c r="B5">
        <v>6666.67</v>
      </c>
      <c r="C5">
        <f t="shared" si="1"/>
        <v>8875</v>
      </c>
      <c r="D5">
        <f t="shared" si="0"/>
        <v>7825</v>
      </c>
      <c r="E5" s="4">
        <f t="shared" si="0"/>
        <v>8425</v>
      </c>
      <c r="F5" s="4">
        <f t="shared" si="2"/>
        <v>8908.3333333333339</v>
      </c>
    </row>
    <row r="6" spans="1:8">
      <c r="A6" s="59" t="s">
        <v>834</v>
      </c>
      <c r="B6">
        <v>6666.67</v>
      </c>
      <c r="C6">
        <f t="shared" si="1"/>
        <v>8875</v>
      </c>
      <c r="D6">
        <f t="shared" si="0"/>
        <v>7825</v>
      </c>
      <c r="E6" s="4">
        <f t="shared" si="0"/>
        <v>8425</v>
      </c>
      <c r="F6" s="4">
        <f t="shared" si="2"/>
        <v>8908.3333333333339</v>
      </c>
      <c r="H6" s="104"/>
    </row>
    <row r="7" spans="1:8">
      <c r="A7" s="59" t="s">
        <v>835</v>
      </c>
      <c r="B7">
        <v>6666.67</v>
      </c>
      <c r="C7">
        <f t="shared" si="1"/>
        <v>8875</v>
      </c>
      <c r="D7">
        <f t="shared" si="0"/>
        <v>7825</v>
      </c>
      <c r="E7" s="4">
        <f t="shared" si="0"/>
        <v>8425</v>
      </c>
      <c r="F7" s="4">
        <f t="shared" si="2"/>
        <v>8908.3333333333339</v>
      </c>
    </row>
    <row r="8" spans="1:8">
      <c r="A8" s="59" t="s">
        <v>836</v>
      </c>
      <c r="B8">
        <v>6666.67</v>
      </c>
      <c r="C8">
        <f t="shared" si="1"/>
        <v>8875</v>
      </c>
      <c r="D8">
        <f t="shared" si="0"/>
        <v>7825</v>
      </c>
      <c r="E8" s="4">
        <f t="shared" si="0"/>
        <v>8425</v>
      </c>
      <c r="F8" s="4">
        <f t="shared" si="2"/>
        <v>8908.3333333333339</v>
      </c>
    </row>
    <row r="9" spans="1:8">
      <c r="A9" s="59" t="s">
        <v>580</v>
      </c>
      <c r="B9">
        <v>6666.67</v>
      </c>
      <c r="C9">
        <f t="shared" si="1"/>
        <v>8875</v>
      </c>
      <c r="D9">
        <f t="shared" si="0"/>
        <v>7825</v>
      </c>
      <c r="E9" s="4">
        <f t="shared" si="0"/>
        <v>8425</v>
      </c>
      <c r="F9" s="4">
        <f t="shared" si="2"/>
        <v>8908.3333333333339</v>
      </c>
    </row>
    <row r="10" spans="1:8">
      <c r="A10" s="59" t="s">
        <v>576</v>
      </c>
      <c r="B10">
        <v>6666.67</v>
      </c>
      <c r="C10">
        <f t="shared" si="1"/>
        <v>8875</v>
      </c>
      <c r="D10">
        <f t="shared" si="0"/>
        <v>7825</v>
      </c>
      <c r="E10" s="4">
        <f t="shared" si="0"/>
        <v>8425</v>
      </c>
      <c r="F10" s="4">
        <f t="shared" si="2"/>
        <v>8908.3333333333339</v>
      </c>
    </row>
    <row r="11" spans="1:8">
      <c r="A11" s="59" t="s">
        <v>837</v>
      </c>
      <c r="B11">
        <v>6666.67</v>
      </c>
      <c r="C11">
        <f>C$19/12-C$26</f>
        <v>7375</v>
      </c>
      <c r="D11">
        <f>D$19/12-D$26</f>
        <v>7725</v>
      </c>
      <c r="E11" s="4">
        <f>E$19/12-E$26</f>
        <v>8325</v>
      </c>
      <c r="F11" s="4"/>
    </row>
    <row r="12" spans="1:8">
      <c r="A12" s="59" t="s">
        <v>471</v>
      </c>
      <c r="B12">
        <v>32933.33</v>
      </c>
      <c r="C12" s="4">
        <f>D19/12+(D19-C19)/12-C$26</f>
        <v>8275</v>
      </c>
      <c r="D12" s="4">
        <f>E19/12+(E19-D19)/12-D$26</f>
        <v>9125</v>
      </c>
      <c r="E12" s="4">
        <f>F19/12+(F19-E19)/12-E$26</f>
        <v>9491.6666666666679</v>
      </c>
      <c r="F12" s="4"/>
      <c r="H12" s="104"/>
    </row>
    <row r="13" spans="1:8">
      <c r="A13" s="59" t="s">
        <v>838</v>
      </c>
      <c r="B13">
        <v>8875</v>
      </c>
      <c r="C13">
        <f>D19/12-C$26</f>
        <v>7825</v>
      </c>
      <c r="D13" s="4">
        <f>E19/12-D$26</f>
        <v>8425</v>
      </c>
      <c r="E13" s="4">
        <f>F19/12-E$26</f>
        <v>8908.3333333333339</v>
      </c>
      <c r="F13" s="4"/>
      <c r="H13" s="104"/>
    </row>
    <row r="14" spans="1:8">
      <c r="A14" s="59" t="s">
        <v>839</v>
      </c>
      <c r="B14">
        <v>1635.09</v>
      </c>
      <c r="C14">
        <f>30.55*9+36.35*3</f>
        <v>384</v>
      </c>
      <c r="D14">
        <f>36.35*9+38.15*3</f>
        <v>441.6</v>
      </c>
      <c r="E14">
        <f>38.15*12</f>
        <v>457.79999999999995</v>
      </c>
    </row>
    <row r="16" spans="1:8">
      <c r="A16" s="40" t="s">
        <v>840</v>
      </c>
      <c r="B16" s="4">
        <f>SUM(B2:B14)</f>
        <v>109610.12</v>
      </c>
      <c r="C16" s="4">
        <f>SUM(C2:C14)</f>
        <v>103734</v>
      </c>
      <c r="D16" s="4">
        <f>SUM(D2:D14)</f>
        <v>96141.6</v>
      </c>
      <c r="E16" s="4">
        <f>SUM(E2:E14)+MAX(E21-E27,0)</f>
        <v>105257.8</v>
      </c>
    </row>
    <row r="17" spans="1:7">
      <c r="A17" s="40"/>
    </row>
    <row r="18" spans="1:7">
      <c r="B18" s="40">
        <v>2021</v>
      </c>
      <c r="C18" s="40">
        <v>2022</v>
      </c>
      <c r="D18" s="40">
        <v>2023</v>
      </c>
      <c r="E18" s="40">
        <v>2024</v>
      </c>
      <c r="F18" s="40">
        <v>2025</v>
      </c>
      <c r="G18" s="40">
        <v>2026</v>
      </c>
    </row>
    <row r="19" spans="1:7">
      <c r="A19" s="40" t="s">
        <v>841</v>
      </c>
      <c r="B19">
        <v>80000</v>
      </c>
      <c r="C19">
        <v>106500</v>
      </c>
      <c r="D19">
        <v>111900</v>
      </c>
      <c r="E19">
        <v>120300</v>
      </c>
      <c r="F19">
        <v>127300</v>
      </c>
      <c r="G19">
        <v>130000</v>
      </c>
    </row>
    <row r="20" spans="1:7">
      <c r="A20" s="40" t="s">
        <v>842</v>
      </c>
      <c r="C20" s="32">
        <f>(C19-B19)/B19</f>
        <v>0.33124999999999999</v>
      </c>
      <c r="D20" s="32">
        <f>(D19-C19)/C19</f>
        <v>5.0704225352112678E-2</v>
      </c>
      <c r="E20" s="32">
        <f>(E19-D19)/D19</f>
        <v>7.5067024128686322E-2</v>
      </c>
      <c r="F20" s="32">
        <f>F19/E19-1</f>
        <v>5.8187863674147966E-2</v>
      </c>
      <c r="G20" s="32">
        <f>G19/F19-1</f>
        <v>2.1209740769835062E-2</v>
      </c>
    </row>
    <row r="21" spans="1:7">
      <c r="A21" s="40" t="s">
        <v>843</v>
      </c>
      <c r="B21">
        <v>21910</v>
      </c>
      <c r="C21" s="4">
        <v>19250</v>
      </c>
      <c r="D21">
        <v>27590</v>
      </c>
      <c r="E21">
        <v>30250</v>
      </c>
      <c r="F21">
        <v>38190</v>
      </c>
      <c r="G21">
        <f>G19*G22</f>
        <v>39000</v>
      </c>
    </row>
    <row r="22" spans="1:7">
      <c r="A22" s="40" t="s">
        <v>844</v>
      </c>
      <c r="B22" s="32">
        <f>B21/80000</f>
        <v>0.27387499999999998</v>
      </c>
      <c r="C22" s="32">
        <f>C21/C19</f>
        <v>0.18075117370892019</v>
      </c>
      <c r="D22" s="32">
        <f>D21/D19</f>
        <v>0.24655942806076855</v>
      </c>
      <c r="E22" s="32">
        <f>E21/E19</f>
        <v>0.25145469659185371</v>
      </c>
      <c r="F22" s="32">
        <f>F21/F19</f>
        <v>0.3</v>
      </c>
      <c r="G22" s="80">
        <v>0.3</v>
      </c>
    </row>
    <row r="23" spans="1:7">
      <c r="A23" s="40" t="s">
        <v>845</v>
      </c>
      <c r="C23" s="91"/>
      <c r="D23" s="92">
        <v>13900</v>
      </c>
      <c r="E23">
        <v>13900</v>
      </c>
      <c r="F23">
        <v>13900</v>
      </c>
      <c r="G23">
        <v>13900</v>
      </c>
    </row>
    <row r="24" spans="1:7">
      <c r="A24" s="40" t="s">
        <v>846</v>
      </c>
      <c r="C24" s="91"/>
      <c r="D24" s="99">
        <f>D23*0.804297</f>
        <v>11179.728300000001</v>
      </c>
      <c r="E24" s="99">
        <f>E23*0.782479</f>
        <v>10876.4581</v>
      </c>
      <c r="F24" s="99">
        <f>F23*0.782479</f>
        <v>10876.4581</v>
      </c>
      <c r="G24" s="99">
        <f>G23*0.782479</f>
        <v>10876.4581</v>
      </c>
    </row>
    <row r="25" spans="1:7" ht="15" thickBot="1">
      <c r="A25" s="93" t="s">
        <v>847</v>
      </c>
      <c r="B25" s="95">
        <f t="shared" ref="B25:C25" si="3">B19+B21+B24</f>
        <v>101910</v>
      </c>
      <c r="C25" s="95">
        <f t="shared" si="3"/>
        <v>125750</v>
      </c>
      <c r="D25" s="96">
        <f>D19+D21+D24</f>
        <v>150669.72829999999</v>
      </c>
      <c r="E25" s="96">
        <f>E19+E21+E24</f>
        <v>161426.45809999999</v>
      </c>
      <c r="F25" s="96">
        <f>F19+F21+F24</f>
        <v>176366.45809999999</v>
      </c>
      <c r="G25" s="96">
        <f>G19+G21+G24</f>
        <v>179876.45809999999</v>
      </c>
    </row>
    <row r="26" spans="1:7">
      <c r="A26" s="40" t="s">
        <v>848</v>
      </c>
      <c r="C26" s="4">
        <v>1500</v>
      </c>
      <c r="D26">
        <v>1600</v>
      </c>
      <c r="E26">
        <v>1700</v>
      </c>
      <c r="F26">
        <v>1750</v>
      </c>
    </row>
    <row r="27" spans="1:7">
      <c r="A27" s="40" t="s">
        <v>849</v>
      </c>
      <c r="C27" s="4">
        <v>19250</v>
      </c>
      <c r="D27">
        <v>27590</v>
      </c>
      <c r="E27" s="4">
        <v>28000</v>
      </c>
      <c r="F27" s="4">
        <v>26800</v>
      </c>
    </row>
    <row r="28" spans="1:7">
      <c r="A28" s="40" t="s">
        <v>850</v>
      </c>
      <c r="B28">
        <f>(B19/12*9+C19/12*3)/10</f>
        <v>8662.5</v>
      </c>
      <c r="C28">
        <f>(C19/12*9+D19/12*3)/10+C26*3+C27</f>
        <v>34535</v>
      </c>
      <c r="D28">
        <f>(D19/12*9+E19/12*3)/10+C26*9+D26*3+D27</f>
        <v>57290</v>
      </c>
      <c r="E28" s="4">
        <f>(E19/12*9+F19/12*3)/10+D26*9+E26*3+E27</f>
        <v>59705</v>
      </c>
      <c r="F28" s="4">
        <f>(F19/12*9+G19/12*3)/10+E26*9+F26*3+F27</f>
        <v>60147.5</v>
      </c>
    </row>
    <row r="29" spans="1:7">
      <c r="A29" s="40" t="s">
        <v>851</v>
      </c>
      <c r="C29">
        <v>40000</v>
      </c>
      <c r="D29">
        <v>60000</v>
      </c>
      <c r="E29">
        <v>60000</v>
      </c>
      <c r="F29">
        <v>60000</v>
      </c>
    </row>
    <row r="31" spans="1:7">
      <c r="E31" s="4"/>
    </row>
  </sheetData>
  <pageMargins left="0.7" right="0.7" top="0.75" bottom="0.75" header="0.3" footer="0.3"/>
  <pageSetup orientation="portrait" r:id="rId1"/>
  <headerFooter>
    <oddFooter>&amp;C&amp;1#&amp;"Calibri"&amp;9&amp;K000000Information Classification: GENERAL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7D1CC-68DF-4176-8A5F-FE1E8479A82E}">
  <dimension ref="A1:E12"/>
  <sheetViews>
    <sheetView workbookViewId="0">
      <selection activeCell="J12" sqref="J12"/>
    </sheetView>
  </sheetViews>
  <sheetFormatPr defaultRowHeight="14.4"/>
  <cols>
    <col min="1" max="1" width="10.5546875" bestFit="1" customWidth="1"/>
    <col min="2" max="2" width="20.5546875" customWidth="1"/>
    <col min="4" max="5" width="10.5546875" bestFit="1" customWidth="1"/>
  </cols>
  <sheetData>
    <row r="1" spans="1:5" ht="18">
      <c r="A1" s="21">
        <v>43698</v>
      </c>
      <c r="B1" t="s">
        <v>852</v>
      </c>
      <c r="D1" s="43" t="s">
        <v>853</v>
      </c>
      <c r="E1" s="21"/>
    </row>
    <row r="2" spans="1:5">
      <c r="A2" s="21">
        <v>43731</v>
      </c>
      <c r="B2" t="s">
        <v>854</v>
      </c>
      <c r="D2" t="s">
        <v>855</v>
      </c>
    </row>
    <row r="3" spans="1:5">
      <c r="A3" s="21">
        <v>43759</v>
      </c>
      <c r="B3" t="s">
        <v>856</v>
      </c>
      <c r="D3" t="s">
        <v>857</v>
      </c>
    </row>
    <row r="4" spans="1:5">
      <c r="A4" s="21">
        <v>43817</v>
      </c>
      <c r="B4" t="s">
        <v>858</v>
      </c>
      <c r="D4" t="s">
        <v>859</v>
      </c>
    </row>
    <row r="5" spans="1:5">
      <c r="A5" s="21" t="s">
        <v>860</v>
      </c>
      <c r="B5" t="s">
        <v>861</v>
      </c>
      <c r="D5" t="s">
        <v>862</v>
      </c>
    </row>
    <row r="6" spans="1:5">
      <c r="A6" s="21" t="s">
        <v>860</v>
      </c>
      <c r="B6" t="s">
        <v>863</v>
      </c>
    </row>
    <row r="7" spans="1:5">
      <c r="A7" s="21" t="s">
        <v>860</v>
      </c>
      <c r="B7" t="s">
        <v>864</v>
      </c>
    </row>
    <row r="9" spans="1:5">
      <c r="A9" s="3" t="s">
        <v>865</v>
      </c>
    </row>
    <row r="12" spans="1:5" ht="88.5" customHeight="1">
      <c r="A12" s="46" t="s">
        <v>866</v>
      </c>
    </row>
  </sheetData>
  <pageMargins left="0.7" right="0.7" top="0.75" bottom="0.75" header="0.3" footer="0.3"/>
  <pageSetup orientation="portrait" r:id="rId1"/>
  <headerFooter>
    <oddFooter>&amp;C&amp;1#&amp;"Calibri"&amp;9&amp;K000000Information Classification: GENERAL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1BA8D-0FAF-4E4E-BCD3-DBB942DCE0BE}">
  <dimension ref="A1:L17"/>
  <sheetViews>
    <sheetView zoomScaleNormal="100" workbookViewId="0">
      <selection activeCell="D24" sqref="D24"/>
    </sheetView>
  </sheetViews>
  <sheetFormatPr defaultColWidth="17.44140625" defaultRowHeight="14.4"/>
  <cols>
    <col min="1" max="1" width="19.44140625" customWidth="1"/>
    <col min="2" max="2" width="11.44140625" customWidth="1"/>
    <col min="3" max="3" width="20.44140625" customWidth="1"/>
    <col min="4" max="5" width="16.44140625" customWidth="1"/>
    <col min="6" max="6" width="10.44140625" customWidth="1"/>
    <col min="7" max="7" width="18.88671875" bestFit="1" customWidth="1"/>
    <col min="8" max="8" width="10.88671875" customWidth="1"/>
    <col min="9" max="9" width="7.44140625" customWidth="1"/>
    <col min="10" max="10" width="9.5546875" customWidth="1"/>
    <col min="11" max="11" width="12.44140625" bestFit="1" customWidth="1"/>
    <col min="12" max="12" width="9.44140625" customWidth="1"/>
  </cols>
  <sheetData>
    <row r="1" spans="1:12">
      <c r="A1" s="40" t="s">
        <v>867</v>
      </c>
      <c r="B1" s="40" t="s">
        <v>868</v>
      </c>
      <c r="C1" s="51"/>
      <c r="E1" s="51"/>
      <c r="F1" t="s">
        <v>869</v>
      </c>
      <c r="G1" s="69" t="s">
        <v>870</v>
      </c>
      <c r="H1" s="69" t="s">
        <v>871</v>
      </c>
      <c r="I1" s="70" t="s">
        <v>872</v>
      </c>
      <c r="J1" s="69" t="s">
        <v>873</v>
      </c>
      <c r="L1" s="50"/>
    </row>
    <row r="2" spans="1:12">
      <c r="A2" s="51" t="s">
        <v>874</v>
      </c>
      <c r="B2" s="51" t="s">
        <v>875</v>
      </c>
      <c r="C2" s="51"/>
      <c r="D2" s="51"/>
      <c r="E2" s="51"/>
      <c r="G2" t="s">
        <v>876</v>
      </c>
      <c r="H2" t="s">
        <v>877</v>
      </c>
    </row>
    <row r="3" spans="1:12">
      <c r="A3" s="51" t="s">
        <v>878</v>
      </c>
      <c r="B3" s="51" t="s">
        <v>879</v>
      </c>
      <c r="C3" s="51"/>
      <c r="D3" s="51"/>
      <c r="E3" s="51"/>
      <c r="F3" s="51"/>
      <c r="G3" t="s">
        <v>880</v>
      </c>
      <c r="H3" t="s">
        <v>881</v>
      </c>
    </row>
    <row r="4" spans="1:12">
      <c r="A4" s="51" t="s">
        <v>882</v>
      </c>
      <c r="B4" s="51" t="s">
        <v>883</v>
      </c>
      <c r="C4" s="51"/>
      <c r="D4" s="51"/>
      <c r="E4" s="51"/>
      <c r="F4" s="51"/>
      <c r="G4" s="4" t="s">
        <v>884</v>
      </c>
      <c r="H4" s="4" t="s">
        <v>881</v>
      </c>
    </row>
    <row r="5" spans="1:12">
      <c r="A5" s="51" t="s">
        <v>885</v>
      </c>
      <c r="B5" s="51" t="s">
        <v>886</v>
      </c>
      <c r="C5" s="51"/>
      <c r="D5" s="51"/>
      <c r="E5" s="51"/>
      <c r="G5" t="s">
        <v>887</v>
      </c>
      <c r="H5" t="s">
        <v>881</v>
      </c>
    </row>
    <row r="6" spans="1:12">
      <c r="A6" s="51" t="s">
        <v>888</v>
      </c>
      <c r="B6" s="51" t="s">
        <v>889</v>
      </c>
      <c r="C6" s="51"/>
      <c r="D6" s="51"/>
      <c r="E6" s="51"/>
      <c r="F6" s="53"/>
      <c r="G6" t="s">
        <v>890</v>
      </c>
      <c r="H6" t="s">
        <v>877</v>
      </c>
      <c r="I6" s="4"/>
      <c r="L6" s="40"/>
    </row>
    <row r="7" spans="1:12">
      <c r="A7" s="51" t="s">
        <v>891</v>
      </c>
      <c r="B7" s="51" t="s">
        <v>892</v>
      </c>
      <c r="C7" s="51"/>
      <c r="D7" s="51"/>
      <c r="E7" s="51"/>
      <c r="G7" t="s">
        <v>893</v>
      </c>
      <c r="H7" t="s">
        <v>894</v>
      </c>
      <c r="L7" s="35"/>
    </row>
    <row r="8" spans="1:12">
      <c r="A8" s="51" t="s">
        <v>895</v>
      </c>
      <c r="B8" s="51" t="s">
        <v>896</v>
      </c>
      <c r="C8" s="51"/>
      <c r="D8" s="51"/>
      <c r="E8" s="51"/>
      <c r="F8" s="51"/>
      <c r="I8" s="21"/>
      <c r="J8" s="55"/>
      <c r="K8" s="40"/>
    </row>
    <row r="9" spans="1:12" ht="18">
      <c r="A9" s="51" t="s">
        <v>897</v>
      </c>
      <c r="B9" s="51" t="s">
        <v>898</v>
      </c>
      <c r="C9" s="51"/>
      <c r="D9" s="51"/>
      <c r="E9" s="51"/>
      <c r="I9" s="52"/>
      <c r="K9" s="4"/>
    </row>
    <row r="10" spans="1:12">
      <c r="A10" s="51"/>
      <c r="B10" s="51"/>
      <c r="C10" s="51"/>
      <c r="D10" s="51"/>
      <c r="E10" s="51"/>
    </row>
    <row r="11" spans="1:12">
      <c r="A11" s="51" t="s">
        <v>899</v>
      </c>
      <c r="B11" s="51"/>
      <c r="C11" s="51"/>
      <c r="D11" s="51"/>
      <c r="E11" s="51"/>
      <c r="F11" s="51"/>
    </row>
    <row r="12" spans="1:12">
      <c r="F12" s="51"/>
    </row>
    <row r="13" spans="1:12">
      <c r="F13" s="51"/>
    </row>
    <row r="14" spans="1:12">
      <c r="A14" s="47" t="s">
        <v>900</v>
      </c>
      <c r="B14" s="47"/>
      <c r="C14" s="47"/>
      <c r="D14" s="143"/>
      <c r="E14" s="51"/>
      <c r="F14" s="51"/>
    </row>
    <row r="15" spans="1:12">
      <c r="A15" s="47" t="s">
        <v>901</v>
      </c>
      <c r="B15" s="47"/>
      <c r="D15" s="21"/>
      <c r="I15" s="4"/>
    </row>
    <row r="16" spans="1:12">
      <c r="C16" s="21"/>
      <c r="I16" s="4"/>
      <c r="K16" s="54"/>
    </row>
    <row r="17" spans="3:3">
      <c r="C17" s="21"/>
    </row>
  </sheetData>
  <pageMargins left="0.7" right="0.7" top="0.75" bottom="0.75" header="0.3" footer="0.3"/>
  <pageSetup orientation="landscape" r:id="rId1"/>
  <headerFooter>
    <oddFooter>&amp;C&amp;1#&amp;"Calibri"&amp;9&amp;K000000Information Classification: GENERAL</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690F7-4B27-4EA0-B15F-B381A45FD17D}">
  <dimension ref="A1:I26"/>
  <sheetViews>
    <sheetView workbookViewId="0">
      <selection activeCell="B39" sqref="B39"/>
    </sheetView>
  </sheetViews>
  <sheetFormatPr defaultRowHeight="14.4"/>
  <cols>
    <col min="1" max="1" width="23.44140625" customWidth="1"/>
    <col min="2" max="2" width="17" bestFit="1" customWidth="1"/>
    <col min="3" max="3" width="17.5546875" bestFit="1" customWidth="1"/>
    <col min="4" max="4" width="15" bestFit="1" customWidth="1"/>
    <col min="5" max="5" width="18.44140625" bestFit="1" customWidth="1"/>
    <col min="6" max="6" width="14.44140625" bestFit="1" customWidth="1"/>
    <col min="9" max="9" width="19.5546875" bestFit="1" customWidth="1"/>
  </cols>
  <sheetData>
    <row r="1" spans="1:9">
      <c r="A1" t="s">
        <v>902</v>
      </c>
      <c r="B1" t="s">
        <v>903</v>
      </c>
    </row>
    <row r="2" spans="1:9">
      <c r="A2" t="s">
        <v>904</v>
      </c>
      <c r="B2" t="s">
        <v>905</v>
      </c>
    </row>
    <row r="3" spans="1:9">
      <c r="A3" t="s">
        <v>906</v>
      </c>
      <c r="B3" t="s">
        <v>907</v>
      </c>
    </row>
    <row r="4" spans="1:9">
      <c r="A4" s="42" t="s">
        <v>908</v>
      </c>
      <c r="B4" s="42" t="s">
        <v>909</v>
      </c>
      <c r="C4" t="s">
        <v>910</v>
      </c>
      <c r="D4" s="45" t="s">
        <v>911</v>
      </c>
      <c r="I4" t="s">
        <v>912</v>
      </c>
    </row>
    <row r="5" spans="1:9">
      <c r="C5" s="42" t="s">
        <v>913</v>
      </c>
    </row>
    <row r="6" spans="1:9">
      <c r="C6" s="42" t="s">
        <v>914</v>
      </c>
      <c r="D6" s="45" t="s">
        <v>915</v>
      </c>
      <c r="I6" t="s">
        <v>916</v>
      </c>
    </row>
    <row r="7" spans="1:9">
      <c r="D7" t="s">
        <v>917</v>
      </c>
      <c r="E7" s="42" t="s">
        <v>918</v>
      </c>
    </row>
    <row r="8" spans="1:9">
      <c r="D8" s="45" t="s">
        <v>919</v>
      </c>
      <c r="E8" t="s">
        <v>920</v>
      </c>
      <c r="F8" t="s">
        <v>921</v>
      </c>
      <c r="I8" t="s">
        <v>922</v>
      </c>
    </row>
    <row r="9" spans="1:9">
      <c r="D9" t="s">
        <v>923</v>
      </c>
      <c r="E9" s="42" t="s">
        <v>924</v>
      </c>
      <c r="I9" t="s">
        <v>912</v>
      </c>
    </row>
    <row r="10" spans="1:9">
      <c r="D10" t="s">
        <v>925</v>
      </c>
      <c r="E10" s="42" t="s">
        <v>926</v>
      </c>
      <c r="I10" t="s">
        <v>927</v>
      </c>
    </row>
    <row r="11" spans="1:9">
      <c r="C11" t="s">
        <v>928</v>
      </c>
      <c r="D11" s="42" t="s">
        <v>929</v>
      </c>
    </row>
    <row r="12" spans="1:9">
      <c r="A12" s="42" t="s">
        <v>930</v>
      </c>
      <c r="B12" s="42" t="s">
        <v>931</v>
      </c>
      <c r="C12" t="s">
        <v>932</v>
      </c>
      <c r="I12" t="s">
        <v>906</v>
      </c>
    </row>
    <row r="13" spans="1:9">
      <c r="C13" t="s">
        <v>933</v>
      </c>
      <c r="I13" t="s">
        <v>904</v>
      </c>
    </row>
    <row r="14" spans="1:9">
      <c r="C14" t="s">
        <v>934</v>
      </c>
      <c r="D14" s="42" t="s">
        <v>935</v>
      </c>
      <c r="I14" t="s">
        <v>906</v>
      </c>
    </row>
    <row r="15" spans="1:9">
      <c r="C15" s="42" t="s">
        <v>936</v>
      </c>
      <c r="I15" t="s">
        <v>906</v>
      </c>
    </row>
    <row r="16" spans="1:9">
      <c r="C16" t="s">
        <v>937</v>
      </c>
      <c r="I16" t="s">
        <v>906</v>
      </c>
    </row>
    <row r="17" spans="1:9">
      <c r="C17" t="s">
        <v>938</v>
      </c>
      <c r="D17" s="42" t="s">
        <v>939</v>
      </c>
      <c r="E17" s="42" t="s">
        <v>940</v>
      </c>
      <c r="F17" s="42" t="s">
        <v>941</v>
      </c>
      <c r="I17" s="42" t="s">
        <v>942</v>
      </c>
    </row>
    <row r="18" spans="1:9">
      <c r="C18" t="s">
        <v>943</v>
      </c>
      <c r="D18" s="42" t="s">
        <v>944</v>
      </c>
      <c r="E18" t="s">
        <v>945</v>
      </c>
      <c r="I18" t="s">
        <v>946</v>
      </c>
    </row>
    <row r="19" spans="1:9">
      <c r="A19" s="42" t="s">
        <v>947</v>
      </c>
      <c r="B19" t="s">
        <v>948</v>
      </c>
      <c r="C19" t="s">
        <v>949</v>
      </c>
      <c r="D19" t="s">
        <v>950</v>
      </c>
      <c r="E19" t="s">
        <v>951</v>
      </c>
      <c r="F19" s="42" t="s">
        <v>952</v>
      </c>
      <c r="G19" s="42" t="s">
        <v>953</v>
      </c>
      <c r="I19" t="s">
        <v>954</v>
      </c>
    </row>
    <row r="20" spans="1:9">
      <c r="E20" t="s">
        <v>955</v>
      </c>
      <c r="F20" s="45" t="s">
        <v>956</v>
      </c>
      <c r="I20" t="s">
        <v>954</v>
      </c>
    </row>
    <row r="21" spans="1:9">
      <c r="C21" t="s">
        <v>957</v>
      </c>
      <c r="D21" s="45" t="s">
        <v>958</v>
      </c>
    </row>
    <row r="22" spans="1:9">
      <c r="C22" t="s">
        <v>959</v>
      </c>
      <c r="D22" t="s">
        <v>960</v>
      </c>
      <c r="E22" s="42" t="s">
        <v>961</v>
      </c>
    </row>
    <row r="23" spans="1:9">
      <c r="A23" s="42" t="s">
        <v>962</v>
      </c>
      <c r="B23" s="42" t="s">
        <v>963</v>
      </c>
      <c r="C23" s="42" t="s">
        <v>964</v>
      </c>
      <c r="I23" t="s">
        <v>965</v>
      </c>
    </row>
    <row r="24" spans="1:9">
      <c r="C24" t="s">
        <v>966</v>
      </c>
      <c r="D24" t="s">
        <v>967</v>
      </c>
      <c r="E24" s="42" t="s">
        <v>968</v>
      </c>
      <c r="I24" s="44" t="s">
        <v>969</v>
      </c>
    </row>
    <row r="25" spans="1:9">
      <c r="E25" s="42" t="s">
        <v>970</v>
      </c>
      <c r="F25" t="s">
        <v>971</v>
      </c>
      <c r="G25" t="s">
        <v>972</v>
      </c>
      <c r="I25" s="44" t="s">
        <v>973</v>
      </c>
    </row>
    <row r="26" spans="1:9">
      <c r="C26" t="s">
        <v>974</v>
      </c>
      <c r="I26" t="s">
        <v>975</v>
      </c>
    </row>
  </sheetData>
  <pageMargins left="0.7" right="0.7" top="0.75" bottom="0.75" header="0.3" footer="0.3"/>
  <pageSetup orientation="portrait" r:id="rId1"/>
  <headerFooter>
    <oddFooter>&amp;C&amp;1#&amp;"Calibri"&amp;9&amp;K000000Information Classification: GENERAL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37"/>
  <sheetViews>
    <sheetView topLeftCell="A10" workbookViewId="0">
      <selection activeCell="C3" sqref="C3"/>
    </sheetView>
  </sheetViews>
  <sheetFormatPr defaultRowHeight="14.4"/>
  <cols>
    <col min="1" max="1" width="17.44140625" bestFit="1" customWidth="1"/>
  </cols>
  <sheetData>
    <row r="1" spans="1:3">
      <c r="A1" t="s">
        <v>976</v>
      </c>
    </row>
    <row r="2" spans="1:3">
      <c r="A2" t="s">
        <v>977</v>
      </c>
    </row>
    <row r="3" spans="1:3">
      <c r="C3" s="4">
        <f>AVERAGE(B4:B34)</f>
        <v>33</v>
      </c>
    </row>
    <row r="4" spans="1:3">
      <c r="A4" s="21">
        <v>42778</v>
      </c>
      <c r="B4">
        <f t="shared" ref="B4:B33" si="0">A4-A5</f>
        <v>32</v>
      </c>
    </row>
    <row r="5" spans="1:3">
      <c r="A5" s="21">
        <v>42746</v>
      </c>
      <c r="B5">
        <f t="shared" si="0"/>
        <v>31</v>
      </c>
    </row>
    <row r="6" spans="1:3">
      <c r="A6" s="21">
        <v>42715</v>
      </c>
      <c r="B6">
        <f t="shared" si="0"/>
        <v>30</v>
      </c>
    </row>
    <row r="7" spans="1:3">
      <c r="A7" s="21">
        <v>42685</v>
      </c>
      <c r="B7">
        <f t="shared" si="0"/>
        <v>29</v>
      </c>
    </row>
    <row r="8" spans="1:3">
      <c r="A8" s="21">
        <v>42656</v>
      </c>
      <c r="B8">
        <f t="shared" si="0"/>
        <v>50</v>
      </c>
    </row>
    <row r="9" spans="1:3">
      <c r="A9" s="21">
        <v>42606</v>
      </c>
      <c r="B9">
        <f t="shared" si="0"/>
        <v>48</v>
      </c>
    </row>
    <row r="10" spans="1:3">
      <c r="A10" s="21">
        <v>42558</v>
      </c>
      <c r="B10">
        <f t="shared" si="0"/>
        <v>33</v>
      </c>
    </row>
    <row r="11" spans="1:3">
      <c r="A11" s="21">
        <v>42525</v>
      </c>
      <c r="B11">
        <f t="shared" si="0"/>
        <v>46</v>
      </c>
    </row>
    <row r="12" spans="1:3">
      <c r="A12" s="21">
        <v>42479</v>
      </c>
      <c r="B12">
        <f t="shared" si="0"/>
        <v>31</v>
      </c>
    </row>
    <row r="13" spans="1:3">
      <c r="A13" s="21">
        <v>42448</v>
      </c>
      <c r="B13">
        <f t="shared" si="0"/>
        <v>31</v>
      </c>
    </row>
    <row r="14" spans="1:3">
      <c r="A14" s="21">
        <v>42417</v>
      </c>
      <c r="B14">
        <f t="shared" si="0"/>
        <v>30</v>
      </c>
    </row>
    <row r="15" spans="1:3">
      <c r="A15" s="21">
        <v>42387</v>
      </c>
      <c r="B15">
        <f t="shared" si="0"/>
        <v>34</v>
      </c>
    </row>
    <row r="16" spans="1:3">
      <c r="A16" s="21">
        <v>42353</v>
      </c>
      <c r="B16">
        <f t="shared" si="0"/>
        <v>38</v>
      </c>
    </row>
    <row r="17" spans="1:2">
      <c r="A17" s="21">
        <v>42315</v>
      </c>
      <c r="B17">
        <f t="shared" si="0"/>
        <v>32</v>
      </c>
    </row>
    <row r="18" spans="1:2">
      <c r="A18" s="21">
        <v>42283</v>
      </c>
      <c r="B18">
        <f t="shared" si="0"/>
        <v>36</v>
      </c>
    </row>
    <row r="19" spans="1:2">
      <c r="A19" s="21">
        <v>42247</v>
      </c>
      <c r="B19">
        <f t="shared" si="0"/>
        <v>28</v>
      </c>
    </row>
    <row r="20" spans="1:2">
      <c r="A20" s="21">
        <v>42219</v>
      </c>
      <c r="B20">
        <f t="shared" si="0"/>
        <v>33</v>
      </c>
    </row>
    <row r="21" spans="1:2">
      <c r="A21" s="21">
        <v>42186</v>
      </c>
      <c r="B21">
        <f t="shared" si="0"/>
        <v>32</v>
      </c>
    </row>
    <row r="22" spans="1:2">
      <c r="A22" s="21">
        <v>42154</v>
      </c>
      <c r="B22">
        <f t="shared" si="0"/>
        <v>31</v>
      </c>
    </row>
    <row r="23" spans="1:2">
      <c r="A23" s="21">
        <v>42123</v>
      </c>
      <c r="B23">
        <f t="shared" si="0"/>
        <v>28</v>
      </c>
    </row>
    <row r="24" spans="1:2">
      <c r="A24" s="21">
        <v>42095</v>
      </c>
      <c r="B24">
        <f t="shared" si="0"/>
        <v>26</v>
      </c>
    </row>
    <row r="25" spans="1:2">
      <c r="A25" s="21">
        <v>42069</v>
      </c>
      <c r="B25">
        <f t="shared" si="0"/>
        <v>29</v>
      </c>
    </row>
    <row r="26" spans="1:2">
      <c r="A26" s="21">
        <v>42040</v>
      </c>
      <c r="B26">
        <f t="shared" si="0"/>
        <v>30</v>
      </c>
    </row>
    <row r="27" spans="1:2">
      <c r="A27" s="21">
        <v>42010</v>
      </c>
      <c r="B27">
        <f t="shared" si="0"/>
        <v>33</v>
      </c>
    </row>
    <row r="28" spans="1:2">
      <c r="A28" s="21">
        <v>41977</v>
      </c>
      <c r="B28">
        <f t="shared" si="0"/>
        <v>29</v>
      </c>
    </row>
    <row r="29" spans="1:2">
      <c r="A29" s="21">
        <v>41948</v>
      </c>
      <c r="B29">
        <f t="shared" si="0"/>
        <v>35</v>
      </c>
    </row>
    <row r="30" spans="1:2">
      <c r="A30" s="21">
        <v>41913</v>
      </c>
      <c r="B30">
        <f t="shared" si="0"/>
        <v>35</v>
      </c>
    </row>
    <row r="31" spans="1:2">
      <c r="A31" s="21">
        <v>41878</v>
      </c>
      <c r="B31">
        <f t="shared" si="0"/>
        <v>35</v>
      </c>
    </row>
    <row r="32" spans="1:2">
      <c r="A32" s="21">
        <v>41843</v>
      </c>
      <c r="B32">
        <f t="shared" si="0"/>
        <v>28</v>
      </c>
    </row>
    <row r="33" spans="1:2">
      <c r="A33" s="21">
        <v>41815</v>
      </c>
      <c r="B33">
        <f t="shared" si="0"/>
        <v>30</v>
      </c>
    </row>
    <row r="34" spans="1:2">
      <c r="A34" s="21">
        <v>41785</v>
      </c>
      <c r="B34">
        <f>A34-A35</f>
        <v>30</v>
      </c>
    </row>
    <row r="35" spans="1:2">
      <c r="A35" s="21">
        <v>41755</v>
      </c>
    </row>
    <row r="37" spans="1:2" ht="15.75" customHeight="1"/>
  </sheetData>
  <pageMargins left="0.7" right="0.7" top="0.75" bottom="0.75" header="0.3" footer="0.3"/>
  <pageSetup orientation="portrait" r:id="rId1"/>
  <headerFooter>
    <oddFooter>&amp;C&amp;1#&amp;"Calibri"&amp;9&amp;K000000Information Classification: GENERAL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6"/>
  <sheetViews>
    <sheetView workbookViewId="0">
      <selection activeCell="I17" sqref="I17"/>
    </sheetView>
  </sheetViews>
  <sheetFormatPr defaultRowHeight="14.4"/>
  <cols>
    <col min="3" max="3" width="6" bestFit="1" customWidth="1"/>
    <col min="6" max="6" width="11.44140625" customWidth="1"/>
  </cols>
  <sheetData>
    <row r="1" spans="1:10">
      <c r="A1">
        <v>140000</v>
      </c>
      <c r="B1" t="s">
        <v>978</v>
      </c>
      <c r="F1" t="s">
        <v>979</v>
      </c>
      <c r="G1">
        <v>86000</v>
      </c>
      <c r="I1">
        <f>G1*2</f>
        <v>172000</v>
      </c>
      <c r="J1">
        <f>$A$1*2</f>
        <v>280000</v>
      </c>
    </row>
    <row r="2" spans="1:10">
      <c r="A2">
        <v>86000</v>
      </c>
      <c r="B2" t="s">
        <v>980</v>
      </c>
      <c r="C2">
        <f>A1-A2</f>
        <v>54000</v>
      </c>
      <c r="F2" t="s">
        <v>981</v>
      </c>
      <c r="G2">
        <v>86000</v>
      </c>
      <c r="I2">
        <f>G2*2</f>
        <v>172000</v>
      </c>
      <c r="J2">
        <f>$A$1*2</f>
        <v>280000</v>
      </c>
    </row>
    <row r="3" spans="1:10">
      <c r="F3" t="s">
        <v>982</v>
      </c>
      <c r="G3">
        <v>82000</v>
      </c>
      <c r="I3">
        <f>G3*2</f>
        <v>164000</v>
      </c>
      <c r="J3">
        <f>$A$1*2</f>
        <v>280000</v>
      </c>
    </row>
    <row r="5" spans="1:10">
      <c r="F5" t="s">
        <v>983</v>
      </c>
    </row>
    <row r="6" spans="1:10">
      <c r="F6" t="s">
        <v>984</v>
      </c>
    </row>
  </sheetData>
  <pageMargins left="0.7" right="0.7" top="0.75" bottom="0.75" header="0.3" footer="0.3"/>
  <pageSetup orientation="portrait" r:id="rId1"/>
  <headerFooter>
    <oddFooter>&amp;C&amp;1#&amp;"Calibri"&amp;9&amp;K000000Information Classification: GENERAL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22"/>
  <sheetViews>
    <sheetView workbookViewId="0">
      <selection activeCell="J22" sqref="J22"/>
    </sheetView>
  </sheetViews>
  <sheetFormatPr defaultRowHeight="14.4"/>
  <cols>
    <col min="1" max="1" width="12" customWidth="1"/>
    <col min="2" max="2" width="36.44140625" customWidth="1"/>
  </cols>
  <sheetData>
    <row r="1" spans="1:2">
      <c r="A1" s="21">
        <v>43226</v>
      </c>
      <c r="B1" t="s">
        <v>985</v>
      </c>
    </row>
    <row r="2" spans="1:2">
      <c r="A2" s="21">
        <v>43246</v>
      </c>
      <c r="B2" t="s">
        <v>986</v>
      </c>
    </row>
    <row r="3" spans="1:2">
      <c r="A3" s="21">
        <v>43301</v>
      </c>
      <c r="B3" t="s">
        <v>987</v>
      </c>
    </row>
    <row r="4" spans="1:2">
      <c r="A4" s="21">
        <v>43343</v>
      </c>
      <c r="B4" t="s">
        <v>988</v>
      </c>
    </row>
    <row r="5" spans="1:2">
      <c r="A5" s="21">
        <v>43372</v>
      </c>
      <c r="B5" t="s">
        <v>989</v>
      </c>
    </row>
    <row r="6" spans="1:2">
      <c r="A6" s="21">
        <v>43497</v>
      </c>
      <c r="B6" t="s">
        <v>990</v>
      </c>
    </row>
    <row r="7" spans="1:2">
      <c r="A7" s="21">
        <v>43574</v>
      </c>
      <c r="B7" t="s">
        <v>991</v>
      </c>
    </row>
    <row r="8" spans="1:2">
      <c r="A8" s="21">
        <v>43618</v>
      </c>
      <c r="B8" t="s">
        <v>992</v>
      </c>
    </row>
    <row r="9" spans="1:2">
      <c r="A9" s="21">
        <v>43680</v>
      </c>
      <c r="B9" t="s">
        <v>993</v>
      </c>
    </row>
    <row r="10" spans="1:2">
      <c r="A10" s="21">
        <v>43700</v>
      </c>
      <c r="B10" t="s">
        <v>994</v>
      </c>
    </row>
    <row r="11" spans="1:2">
      <c r="A11" s="21">
        <v>43807</v>
      </c>
      <c r="B11" t="s">
        <v>995</v>
      </c>
    </row>
    <row r="12" spans="1:2">
      <c r="A12" s="21">
        <v>44708</v>
      </c>
      <c r="B12" t="s">
        <v>996</v>
      </c>
    </row>
    <row r="13" spans="1:2">
      <c r="A13" s="21">
        <v>44773</v>
      </c>
      <c r="B13" t="s">
        <v>997</v>
      </c>
    </row>
    <row r="14" spans="1:2">
      <c r="A14" s="21">
        <v>44834</v>
      </c>
      <c r="B14" t="s">
        <v>998</v>
      </c>
    </row>
    <row r="15" spans="1:2">
      <c r="A15" s="21">
        <v>44898</v>
      </c>
      <c r="B15" t="s">
        <v>999</v>
      </c>
    </row>
    <row r="16" spans="1:2">
      <c r="A16" s="21">
        <v>44909</v>
      </c>
      <c r="B16" t="s">
        <v>991</v>
      </c>
    </row>
    <row r="17" spans="1:2">
      <c r="A17" s="21">
        <v>45072</v>
      </c>
      <c r="B17" t="s">
        <v>998</v>
      </c>
    </row>
    <row r="18" spans="1:2">
      <c r="A18" s="21">
        <v>45119</v>
      </c>
      <c r="B18" t="s">
        <v>1000</v>
      </c>
    </row>
    <row r="19" spans="1:2">
      <c r="A19" s="21">
        <v>45162</v>
      </c>
      <c r="B19" t="s">
        <v>1001</v>
      </c>
    </row>
    <row r="20" spans="1:2">
      <c r="A20" s="21">
        <v>45177</v>
      </c>
      <c r="B20" t="s">
        <v>1002</v>
      </c>
    </row>
    <row r="21" spans="1:2">
      <c r="A21" s="21">
        <v>45268</v>
      </c>
      <c r="B21" t="s">
        <v>1003</v>
      </c>
    </row>
    <row r="22" spans="1:2">
      <c r="A22" s="21">
        <v>45380</v>
      </c>
      <c r="B22" t="s">
        <v>998</v>
      </c>
    </row>
  </sheetData>
  <pageMargins left="0.7" right="0.7" top="0.75" bottom="0.75" header="0.3" footer="0.3"/>
  <pageSetup orientation="portrait" r:id="rId1"/>
  <headerFooter>
    <oddFooter>&amp;C&amp;1#&amp;"Calibri"&amp;9&amp;K000000Information Classification: GENERAL</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D16"/>
  <sheetViews>
    <sheetView workbookViewId="0">
      <selection activeCell="B17" sqref="B17"/>
    </sheetView>
  </sheetViews>
  <sheetFormatPr defaultRowHeight="14.4"/>
  <cols>
    <col min="1" max="1" width="10.5546875" bestFit="1" customWidth="1"/>
    <col min="2" max="2" width="9.44140625" style="39"/>
  </cols>
  <sheetData>
    <row r="1" spans="1:4">
      <c r="B1" s="39" t="s">
        <v>1004</v>
      </c>
      <c r="D1">
        <f>LOOKUP(9E+307,B:B)</f>
        <v>9.0922999999999998</v>
      </c>
    </row>
    <row r="2" spans="1:4">
      <c r="A2" s="21">
        <v>43244</v>
      </c>
      <c r="B2" s="39">
        <v>8.5411999999999999</v>
      </c>
    </row>
    <row r="3" spans="1:4">
      <c r="A3" s="21">
        <v>43250</v>
      </c>
      <c r="B3" s="39">
        <v>8.4969999999999999</v>
      </c>
    </row>
    <row r="4" spans="1:4">
      <c r="A4" s="21">
        <v>43262</v>
      </c>
      <c r="B4" s="39">
        <v>8.5670000000000002</v>
      </c>
    </row>
    <row r="5" spans="1:4">
      <c r="A5" s="21">
        <v>43264</v>
      </c>
      <c r="B5" s="39">
        <f>6.3995*1.3348</f>
        <v>8.5420525999999999</v>
      </c>
    </row>
    <row r="6" spans="1:4">
      <c r="A6" s="21">
        <v>43290</v>
      </c>
      <c r="B6" s="39">
        <v>8.7670999999999992</v>
      </c>
    </row>
    <row r="7" spans="1:4">
      <c r="A7" s="21">
        <v>43307</v>
      </c>
      <c r="B7" s="39">
        <v>8.9308999999999994</v>
      </c>
    </row>
    <row r="8" spans="1:4">
      <c r="A8" s="21">
        <v>43381</v>
      </c>
      <c r="B8" s="39">
        <v>9.0512999999999995</v>
      </c>
    </row>
    <row r="9" spans="1:4">
      <c r="A9" s="21">
        <v>43403</v>
      </c>
      <c r="B9" s="39">
        <v>8.8827999999999996</v>
      </c>
    </row>
    <row r="10" spans="1:4">
      <c r="A10" s="21">
        <v>43570</v>
      </c>
      <c r="B10" s="39">
        <v>8.7919999999999998</v>
      </c>
    </row>
    <row r="11" spans="1:4">
      <c r="A11" s="21">
        <v>43815</v>
      </c>
      <c r="B11" s="39">
        <v>9.3093000000000004</v>
      </c>
    </row>
    <row r="12" spans="1:4">
      <c r="A12" s="21">
        <v>43858</v>
      </c>
      <c r="B12" s="39">
        <v>9.0155999999999992</v>
      </c>
    </row>
    <row r="13" spans="1:4">
      <c r="A13" s="21">
        <v>43885</v>
      </c>
      <c r="B13" s="39">
        <v>9.0838999999999999</v>
      </c>
    </row>
    <row r="14" spans="1:4">
      <c r="A14" s="21">
        <v>44266</v>
      </c>
      <c r="B14" s="39">
        <v>9.0502000000000002</v>
      </c>
    </row>
    <row r="15" spans="1:4">
      <c r="A15" s="21">
        <v>44893</v>
      </c>
      <c r="B15" s="39">
        <v>8.7246000000000006</v>
      </c>
    </row>
    <row r="16" spans="1:4">
      <c r="A16" s="21">
        <v>45384</v>
      </c>
      <c r="B16" s="39">
        <v>9.0922999999999998</v>
      </c>
    </row>
  </sheetData>
  <pageMargins left="0.7" right="0.7" top="0.75" bottom="0.75" header="0.3" footer="0.3"/>
  <pageSetup orientation="portrait" r:id="rId1"/>
  <headerFooter>
    <oddFooter>&amp;C&amp;1#&amp;"Calibri"&amp;9&amp;K000000Information Classification: GENERAL</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13"/>
  <sheetViews>
    <sheetView workbookViewId="0">
      <selection activeCell="G5" sqref="G5"/>
    </sheetView>
  </sheetViews>
  <sheetFormatPr defaultRowHeight="14.4"/>
  <cols>
    <col min="1" max="1" width="61.44140625" customWidth="1"/>
    <col min="2" max="2" width="15.44140625" customWidth="1"/>
    <col min="3" max="3" width="13.44140625" bestFit="1" customWidth="1"/>
  </cols>
  <sheetData>
    <row r="1" spans="1:3" ht="15.6">
      <c r="A1" s="36" t="s">
        <v>1005</v>
      </c>
      <c r="C1" t="s">
        <v>1006</v>
      </c>
    </row>
    <row r="2" spans="1:3">
      <c r="A2" t="s">
        <v>1007</v>
      </c>
      <c r="B2">
        <v>100</v>
      </c>
    </row>
    <row r="3" spans="1:3">
      <c r="A3" t="s">
        <v>1008</v>
      </c>
      <c r="B3">
        <v>140</v>
      </c>
    </row>
    <row r="4" spans="1:3">
      <c r="A4" t="s">
        <v>1009</v>
      </c>
      <c r="B4">
        <v>80</v>
      </c>
    </row>
    <row r="5" spans="1:3">
      <c r="A5" t="s">
        <v>1010</v>
      </c>
      <c r="B5" s="35" t="s">
        <v>1011</v>
      </c>
    </row>
    <row r="6" spans="1:3">
      <c r="A6" t="s">
        <v>1012</v>
      </c>
    </row>
    <row r="7" spans="1:3">
      <c r="A7" t="s">
        <v>1013</v>
      </c>
      <c r="B7" t="s">
        <v>1014</v>
      </c>
    </row>
    <row r="8" spans="1:3">
      <c r="A8" t="s">
        <v>1015</v>
      </c>
      <c r="B8" t="s">
        <v>1016</v>
      </c>
    </row>
    <row r="9" spans="1:3">
      <c r="A9" t="s">
        <v>1017</v>
      </c>
      <c r="B9" t="s">
        <v>1018</v>
      </c>
    </row>
    <row r="10" spans="1:3">
      <c r="A10" t="s">
        <v>1019</v>
      </c>
      <c r="B10" t="s">
        <v>1020</v>
      </c>
    </row>
    <row r="11" spans="1:3">
      <c r="A11" t="s">
        <v>1021</v>
      </c>
      <c r="B11" t="s">
        <v>1022</v>
      </c>
    </row>
    <row r="12" spans="1:3">
      <c r="A12" t="s">
        <v>1023</v>
      </c>
    </row>
    <row r="13" spans="1:3">
      <c r="A13" t="s">
        <v>1024</v>
      </c>
    </row>
  </sheetData>
  <pageMargins left="0.7" right="0.7" top="0.75" bottom="0.75" header="0.3" footer="0.3"/>
  <pageSetup paperSize="9" orientation="portrait" r:id="rId1"/>
  <headerFooter>
    <oddFooter>&amp;C&amp;1#&amp;"Calibri"&amp;9&amp;K000000Information Classification: GENERAL</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14"/>
  <sheetViews>
    <sheetView workbookViewId="0"/>
  </sheetViews>
  <sheetFormatPr defaultRowHeight="14.4"/>
  <cols>
    <col min="1" max="1" width="26.44140625" customWidth="1"/>
  </cols>
  <sheetData>
    <row r="1" spans="1:5" ht="15.6">
      <c r="A1" s="37" t="s">
        <v>1025</v>
      </c>
    </row>
    <row r="3" spans="1:5">
      <c r="A3" s="38" t="s">
        <v>1026</v>
      </c>
    </row>
    <row r="4" spans="1:5">
      <c r="A4" t="s">
        <v>1027</v>
      </c>
    </row>
    <row r="6" spans="1:5">
      <c r="A6" s="40" t="s">
        <v>1028</v>
      </c>
      <c r="B6" s="40" t="s">
        <v>1029</v>
      </c>
    </row>
    <row r="7" spans="1:5">
      <c r="A7" t="s">
        <v>1030</v>
      </c>
    </row>
    <row r="9" spans="1:5">
      <c r="A9" s="40" t="s">
        <v>1031</v>
      </c>
      <c r="B9" s="40" t="s">
        <v>1032</v>
      </c>
    </row>
    <row r="14" spans="1:5">
      <c r="E14" t="s">
        <v>1033</v>
      </c>
    </row>
  </sheetData>
  <pageMargins left="0.7" right="0.7" top="0.75" bottom="0.75" header="0.3" footer="0.3"/>
  <pageSetup paperSize="9" orientation="portrait" r:id="rId1"/>
  <headerFooter>
    <oddFooter>&amp;C&amp;1#&amp;"Calibri"&amp;9&amp;K000000Information Classification: GENERAL</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04EAF-4FAE-44EC-A09C-AA85C394918B}">
  <dimension ref="A1:B4"/>
  <sheetViews>
    <sheetView workbookViewId="0">
      <selection activeCell="B1" sqref="B1"/>
    </sheetView>
  </sheetViews>
  <sheetFormatPr defaultRowHeight="14.4"/>
  <cols>
    <col min="1" max="1" width="14.44140625" bestFit="1" customWidth="1"/>
    <col min="2" max="2" width="12.44140625" customWidth="1"/>
  </cols>
  <sheetData>
    <row r="1" spans="1:2">
      <c r="A1" t="s">
        <v>1034</v>
      </c>
      <c r="B1" s="35" t="s">
        <v>1035</v>
      </c>
    </row>
    <row r="3" spans="1:2">
      <c r="A3" s="76">
        <v>45383</v>
      </c>
      <c r="B3" s="104">
        <v>140524.18</v>
      </c>
    </row>
    <row r="4" spans="1:2">
      <c r="A4" s="76">
        <v>45474</v>
      </c>
    </row>
  </sheetData>
  <pageMargins left="0.7" right="0.7" top="0.75" bottom="0.75" header="0.3" footer="0.3"/>
  <pageSetup orientation="portrait" r:id="rId1"/>
  <headerFooter>
    <oddFooter>&amp;C&amp;1#&amp;"Calibri"&amp;9&amp;K000000Information Classification: GENERAL</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C7EEF-74F0-48CD-91D2-0442C9B3C611}">
  <dimension ref="A1:M23"/>
  <sheetViews>
    <sheetView workbookViewId="0">
      <selection activeCell="L5" sqref="L5"/>
    </sheetView>
  </sheetViews>
  <sheetFormatPr defaultRowHeight="14.4"/>
  <cols>
    <col min="2" max="2" width="21.5546875" bestFit="1" customWidth="1"/>
    <col min="3" max="3" width="14.44140625" bestFit="1" customWidth="1"/>
    <col min="11" max="11" width="17.5546875" customWidth="1"/>
    <col min="12" max="12" width="17.109375" customWidth="1"/>
    <col min="13" max="13" width="11.44140625" customWidth="1"/>
  </cols>
  <sheetData>
    <row r="1" spans="1:13">
      <c r="A1" t="s">
        <v>1036</v>
      </c>
      <c r="D1" t="s">
        <v>1037</v>
      </c>
      <c r="E1" t="s">
        <v>1038</v>
      </c>
      <c r="G1" t="s">
        <v>1039</v>
      </c>
      <c r="H1">
        <v>134</v>
      </c>
    </row>
    <row r="2" spans="1:13">
      <c r="B2" t="s">
        <v>1040</v>
      </c>
      <c r="C2" s="60">
        <v>44805</v>
      </c>
      <c r="G2" t="s">
        <v>1041</v>
      </c>
      <c r="H2">
        <v>128.5</v>
      </c>
      <c r="K2" t="s">
        <v>1042</v>
      </c>
      <c r="L2" t="s">
        <v>1043</v>
      </c>
      <c r="M2" s="35"/>
    </row>
    <row r="3" spans="1:13">
      <c r="B3" t="s">
        <v>1044</v>
      </c>
      <c r="C3" t="s">
        <v>1045</v>
      </c>
      <c r="D3">
        <f>5*H2</f>
        <v>642.5</v>
      </c>
      <c r="F3">
        <v>5</v>
      </c>
      <c r="K3" s="63">
        <f>SUM(D3:D23)</f>
        <v>30966.5</v>
      </c>
      <c r="L3">
        <f>SUM(D5,D12,D19)+D23+D21</f>
        <v>28011</v>
      </c>
    </row>
    <row r="4" spans="1:13">
      <c r="B4" t="s">
        <v>1046</v>
      </c>
      <c r="C4" s="60">
        <v>44916</v>
      </c>
    </row>
    <row r="5" spans="1:13">
      <c r="A5" t="s">
        <v>1047</v>
      </c>
      <c r="C5" t="s">
        <v>1048</v>
      </c>
      <c r="D5">
        <f>15*5*H1</f>
        <v>10050</v>
      </c>
      <c r="F5">
        <v>5</v>
      </c>
      <c r="K5" s="35" t="s">
        <v>299</v>
      </c>
      <c r="L5" s="63">
        <f>1895*12</f>
        <v>22740</v>
      </c>
    </row>
    <row r="7" spans="1:13">
      <c r="A7" t="s">
        <v>1049</v>
      </c>
    </row>
    <row r="8" spans="1:13">
      <c r="B8" t="s">
        <v>1040</v>
      </c>
      <c r="C8" s="60">
        <v>44929</v>
      </c>
      <c r="K8">
        <f>6565+2765</f>
        <v>9330</v>
      </c>
    </row>
    <row r="9" spans="1:13">
      <c r="B9" s="3" t="s">
        <v>1044</v>
      </c>
      <c r="C9" s="3" t="s">
        <v>1050</v>
      </c>
      <c r="D9">
        <f>5*H2</f>
        <v>642.5</v>
      </c>
      <c r="F9">
        <v>5</v>
      </c>
    </row>
    <row r="10" spans="1:13">
      <c r="B10" t="s">
        <v>1046</v>
      </c>
      <c r="C10" s="60">
        <v>45022</v>
      </c>
    </row>
    <row r="11" spans="1:13">
      <c r="B11" t="s">
        <v>1051</v>
      </c>
      <c r="C11" t="s">
        <v>1052</v>
      </c>
      <c r="D11">
        <f>H2*4</f>
        <v>514</v>
      </c>
      <c r="F11">
        <v>4</v>
      </c>
    </row>
    <row r="12" spans="1:13">
      <c r="A12" t="s">
        <v>1047</v>
      </c>
      <c r="C12" t="s">
        <v>1053</v>
      </c>
      <c r="D12">
        <f>(12*5+3)*H1</f>
        <v>8442</v>
      </c>
    </row>
    <row r="14" spans="1:13">
      <c r="A14" t="s">
        <v>1054</v>
      </c>
    </row>
    <row r="15" spans="1:13">
      <c r="B15" t="s">
        <v>1040</v>
      </c>
      <c r="C15" s="60">
        <v>45033</v>
      </c>
    </row>
    <row r="16" spans="1:13">
      <c r="B16" s="3" t="s">
        <v>374</v>
      </c>
      <c r="C16" s="3" t="s">
        <v>1055</v>
      </c>
      <c r="D16">
        <f>H2*4</f>
        <v>514</v>
      </c>
      <c r="F16">
        <v>4</v>
      </c>
    </row>
    <row r="17" spans="1:6">
      <c r="B17" t="s">
        <v>1046</v>
      </c>
      <c r="C17" s="60">
        <v>45135</v>
      </c>
    </row>
    <row r="18" spans="1:6">
      <c r="B18" t="s">
        <v>1056</v>
      </c>
      <c r="C18" t="s">
        <v>1057</v>
      </c>
      <c r="D18">
        <f>H2*5</f>
        <v>642.5</v>
      </c>
      <c r="F18">
        <v>5</v>
      </c>
    </row>
    <row r="19" spans="1:6">
      <c r="A19" t="s">
        <v>1047</v>
      </c>
      <c r="C19" t="s">
        <v>1058</v>
      </c>
      <c r="D19">
        <f>(13*5+4)*H1</f>
        <v>9246</v>
      </c>
      <c r="F19">
        <v>19</v>
      </c>
    </row>
    <row r="21" spans="1:6">
      <c r="A21" t="s">
        <v>1059</v>
      </c>
      <c r="D21">
        <f>85*3</f>
        <v>255</v>
      </c>
    </row>
    <row r="23" spans="1:6">
      <c r="A23" t="s">
        <v>1060</v>
      </c>
      <c r="D23">
        <v>18</v>
      </c>
    </row>
  </sheetData>
  <pageMargins left="0.7" right="0.7" top="0.75" bottom="0.75" header="0.3" footer="0.3"/>
  <pageSetup paperSize="9" orientation="portrait" horizontalDpi="300" verticalDpi="300" r:id="rId1"/>
  <headerFooter>
    <oddFooter>&amp;C&amp;1#&amp;"Calibri"&amp;9&amp;K000000Information Classification: GENERAL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BEIJING</vt:lpstr>
      <vt:lpstr>Copenhagen</vt:lpstr>
      <vt:lpstr>list</vt:lpstr>
      <vt:lpstr>vacation</vt:lpstr>
      <vt:lpstr>二</vt:lpstr>
      <vt:lpstr>club</vt:lpstr>
      <vt:lpstr>chart</vt:lpstr>
      <vt:lpstr>leave</vt:lpstr>
      <vt:lpstr>party budget</vt:lpstr>
      <vt:lpstr>next stop</vt:lpstr>
      <vt:lpstr>financial planning</vt:lpstr>
      <vt:lpstr>surgeons</vt:lpstr>
      <vt:lpstr>tax-relief</vt:lpstr>
      <vt:lpstr>签证</vt:lpstr>
      <vt:lpstr>小虎</vt:lpstr>
      <vt:lpstr>MSCI</vt:lpstr>
      <vt:lpstr>小板</vt:lpstr>
      <vt:lpstr>飞行</vt:lpstr>
      <vt:lpstr>旅</vt:lpstr>
      <vt:lpstr>英镑</vt:lpstr>
      <vt:lpstr>牙医</vt:lpstr>
      <vt:lpstr>私医</vt:lpstr>
      <vt:lpstr>PENSION</vt:lpstr>
      <vt:lpstr>pippa pop-in</vt:lpstr>
    </vt:vector>
  </TitlesOfParts>
  <Manager/>
  <Company>MSCI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Zheng, Zhuolin</dc:creator>
  <cp:keywords/>
  <dc:description/>
  <cp:lastModifiedBy>Zheng, Zhuolin</cp:lastModifiedBy>
  <cp:revision/>
  <dcterms:created xsi:type="dcterms:W3CDTF">2015-03-17T08:31:12Z</dcterms:created>
  <dcterms:modified xsi:type="dcterms:W3CDTF">2025-05-14T10:39:40Z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60f8386-55a0-404e-9dce-4d5bc8b309d8_Enabled">
    <vt:lpwstr>true</vt:lpwstr>
  </property>
  <property fmtid="{D5CDD505-2E9C-101B-9397-08002B2CF9AE}" pid="3" name="MSIP_Label_b60f8386-55a0-404e-9dce-4d5bc8b309d8_SetDate">
    <vt:lpwstr>2023-07-03T16:43:31Z</vt:lpwstr>
  </property>
  <property fmtid="{D5CDD505-2E9C-101B-9397-08002B2CF9AE}" pid="4" name="MSIP_Label_b60f8386-55a0-404e-9dce-4d5bc8b309d8_Method">
    <vt:lpwstr>Standard</vt:lpwstr>
  </property>
  <property fmtid="{D5CDD505-2E9C-101B-9397-08002B2CF9AE}" pid="5" name="MSIP_Label_b60f8386-55a0-404e-9dce-4d5bc8b309d8_Name">
    <vt:lpwstr>b60f8386-55a0-404e-9dce-4d5bc8b309d8</vt:lpwstr>
  </property>
  <property fmtid="{D5CDD505-2E9C-101B-9397-08002B2CF9AE}" pid="6" name="MSIP_Label_b60f8386-55a0-404e-9dce-4d5bc8b309d8_SiteId">
    <vt:lpwstr>7a9376d4-7c43-480f-82ba-a090647f651d</vt:lpwstr>
  </property>
  <property fmtid="{D5CDD505-2E9C-101B-9397-08002B2CF9AE}" pid="7" name="MSIP_Label_b60f8386-55a0-404e-9dce-4d5bc8b309d8_ActionId">
    <vt:lpwstr>0075e65e-efe3-4dec-bcf5-d1bd2700a06f</vt:lpwstr>
  </property>
  <property fmtid="{D5CDD505-2E9C-101B-9397-08002B2CF9AE}" pid="8" name="MSIP_Label_b60f8386-55a0-404e-9dce-4d5bc8b309d8_ContentBits">
    <vt:lpwstr>2</vt:lpwstr>
  </property>
</Properties>
</file>